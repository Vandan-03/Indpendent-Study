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vandanbhalala/Pycharm Projects/Projects/Investment Banking Projects/Project 1/Excel Model/"/>
    </mc:Choice>
  </mc:AlternateContent>
  <xr:revisionPtr revIDLastSave="0" documentId="13_ncr:1_{566655EB-E15F-A243-A70D-4289ED26C21A}" xr6:coauthVersionLast="47" xr6:coauthVersionMax="47" xr10:uidLastSave="{00000000-0000-0000-0000-000000000000}"/>
  <bookViews>
    <workbookView xWindow="0" yWindow="580" windowWidth="28800" windowHeight="18060" activeTab="2" xr2:uid="{B88EEFB7-8CE1-9849-9981-D3115FCF35A8}"/>
  </bookViews>
  <sheets>
    <sheet name="Assumptions" sheetId="1" r:id="rId1"/>
    <sheet name="DCF" sheetId="2" r:id="rId2"/>
    <sheet name="Annual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3" l="1"/>
  <c r="B183" i="2"/>
  <c r="H18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2" i="2"/>
  <c r="C18" i="1"/>
  <c r="C17" i="1"/>
  <c r="C16" i="1"/>
  <c r="C15" i="1"/>
  <c r="C14" i="1"/>
  <c r="C4" i="1"/>
  <c r="C3" i="1"/>
  <c r="C2" i="1"/>
  <c r="C10" i="1"/>
  <c r="C9" i="1"/>
  <c r="C8" i="1"/>
  <c r="D6" i="2" l="1"/>
  <c r="D7" i="2"/>
  <c r="D8" i="2"/>
  <c r="D9" i="2"/>
  <c r="D10" i="2"/>
  <c r="D11" i="2"/>
  <c r="D12" i="2"/>
  <c r="D13" i="2"/>
  <c r="D14" i="2"/>
  <c r="D15" i="2"/>
  <c r="D16" i="2"/>
  <c r="C183" i="2"/>
  <c r="D4" i="2"/>
  <c r="D17" i="2"/>
  <c r="D18" i="2"/>
  <c r="D19" i="2"/>
  <c r="D20" i="2"/>
  <c r="D5" i="2"/>
  <c r="D2" i="2"/>
  <c r="D21" i="2"/>
  <c r="D22" i="2"/>
  <c r="D23" i="2"/>
  <c r="D24" i="2"/>
  <c r="D25" i="2"/>
  <c r="D26" i="2"/>
  <c r="D27" i="2"/>
  <c r="F4" i="3"/>
  <c r="F7" i="3"/>
  <c r="F9" i="3"/>
  <c r="F11" i="3"/>
  <c r="F14" i="3"/>
  <c r="F15" i="3"/>
  <c r="F6" i="3"/>
  <c r="F8" i="3"/>
  <c r="F10" i="3"/>
  <c r="F12" i="3"/>
  <c r="F13" i="3"/>
  <c r="F16" i="3"/>
  <c r="D28" i="2"/>
  <c r="D29" i="2"/>
  <c r="D30" i="2"/>
  <c r="D31" i="2"/>
  <c r="D32" i="2"/>
  <c r="D33" i="2"/>
  <c r="D35" i="2"/>
  <c r="D36" i="2"/>
  <c r="D37" i="2"/>
  <c r="D34" i="2"/>
  <c r="D39" i="2"/>
  <c r="D40" i="2"/>
  <c r="D41" i="2"/>
  <c r="D76" i="2"/>
  <c r="D77" i="2"/>
  <c r="D78" i="2"/>
  <c r="D79" i="2"/>
  <c r="D80" i="2"/>
  <c r="D81" i="2"/>
  <c r="D82" i="2"/>
  <c r="D83" i="2"/>
  <c r="D84" i="2"/>
  <c r="D38" i="2"/>
  <c r="D3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F2" i="3"/>
  <c r="F3" i="3"/>
  <c r="E6" i="2" l="1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G6" i="2"/>
  <c r="G8" i="2"/>
  <c r="G9" i="2"/>
  <c r="G10" i="2"/>
  <c r="G11" i="2"/>
  <c r="G7" i="2"/>
  <c r="G13" i="2"/>
  <c r="E15" i="2"/>
  <c r="F15" i="2"/>
  <c r="E18" i="2"/>
  <c r="E19" i="2"/>
  <c r="F20" i="2"/>
  <c r="E21" i="2"/>
  <c r="E22" i="2"/>
  <c r="E23" i="2"/>
  <c r="E24" i="2"/>
  <c r="F27" i="2"/>
  <c r="F17" i="2"/>
  <c r="F18" i="2"/>
  <c r="F19" i="2"/>
  <c r="E20" i="2"/>
  <c r="G20" i="2" s="1"/>
  <c r="F21" i="2"/>
  <c r="F22" i="2"/>
  <c r="F23" i="2"/>
  <c r="F24" i="2"/>
  <c r="E25" i="2"/>
  <c r="F25" i="2"/>
  <c r="E26" i="2"/>
  <c r="F26" i="2"/>
  <c r="E27" i="2"/>
  <c r="G27" i="2" s="1"/>
  <c r="F16" i="2"/>
  <c r="E16" i="2"/>
  <c r="G16" i="2" s="1"/>
  <c r="E5" i="2"/>
  <c r="F5" i="2"/>
  <c r="D183" i="2"/>
  <c r="F4" i="2"/>
  <c r="E17" i="2"/>
  <c r="G17" i="2" s="1"/>
  <c r="E4" i="2"/>
  <c r="G4" i="2" s="1"/>
  <c r="B3" i="3"/>
  <c r="E28" i="2"/>
  <c r="F28" i="2"/>
  <c r="E29" i="2"/>
  <c r="F29" i="2"/>
  <c r="F30" i="2"/>
  <c r="E32" i="2"/>
  <c r="F32" i="2"/>
  <c r="E35" i="2"/>
  <c r="F36" i="2"/>
  <c r="F33" i="2"/>
  <c r="F31" i="2"/>
  <c r="E33" i="2"/>
  <c r="G33" i="2" s="1"/>
  <c r="F35" i="2"/>
  <c r="E36" i="2"/>
  <c r="E37" i="2"/>
  <c r="F37" i="2"/>
  <c r="E30" i="2"/>
  <c r="E31" i="2"/>
  <c r="B4" i="3"/>
  <c r="F34" i="2"/>
  <c r="F39" i="2"/>
  <c r="F40" i="2"/>
  <c r="F41" i="2"/>
  <c r="E34" i="2"/>
  <c r="G34" i="2" s="1"/>
  <c r="E39" i="2"/>
  <c r="G39" i="2" s="1"/>
  <c r="E40" i="2"/>
  <c r="G40" i="2" s="1"/>
  <c r="E41" i="2"/>
  <c r="G41" i="2" s="1"/>
  <c r="E38" i="2"/>
  <c r="F76" i="2"/>
  <c r="F77" i="2"/>
  <c r="F78" i="2"/>
  <c r="F79" i="2"/>
  <c r="F80" i="2"/>
  <c r="E82" i="2"/>
  <c r="E83" i="2"/>
  <c r="E84" i="2"/>
  <c r="F38" i="2"/>
  <c r="E76" i="2"/>
  <c r="G76" i="2" s="1"/>
  <c r="E77" i="2"/>
  <c r="G77" i="2" s="1"/>
  <c r="E78" i="2"/>
  <c r="G78" i="2" s="1"/>
  <c r="E79" i="2"/>
  <c r="G79" i="2" s="1"/>
  <c r="E80" i="2"/>
  <c r="G80" i="2" s="1"/>
  <c r="F81" i="2"/>
  <c r="F82" i="2"/>
  <c r="F83" i="2"/>
  <c r="F84" i="2"/>
  <c r="E81" i="2"/>
  <c r="G81" i="2" s="1"/>
  <c r="B8" i="3"/>
  <c r="E90" i="2"/>
  <c r="E93" i="2"/>
  <c r="F94" i="2"/>
  <c r="E97" i="2"/>
  <c r="F98" i="2"/>
  <c r="F100" i="2"/>
  <c r="F106" i="2"/>
  <c r="F108" i="2"/>
  <c r="E91" i="2"/>
  <c r="E95" i="2"/>
  <c r="F97" i="2"/>
  <c r="E100" i="2"/>
  <c r="E106" i="2"/>
  <c r="E103" i="2"/>
  <c r="F90" i="2"/>
  <c r="F91" i="2"/>
  <c r="F93" i="2"/>
  <c r="F95" i="2"/>
  <c r="E98" i="2"/>
  <c r="F105" i="2"/>
  <c r="E108" i="2"/>
  <c r="B2" i="3"/>
  <c r="E2" i="2"/>
  <c r="B5" i="3"/>
  <c r="B12" i="3"/>
  <c r="E86" i="2"/>
  <c r="G86" i="2" s="1"/>
  <c r="F88" i="2"/>
  <c r="F58" i="2"/>
  <c r="B14" i="3"/>
  <c r="B15" i="3"/>
  <c r="E42" i="2"/>
  <c r="G42" i="2" s="1"/>
  <c r="E43" i="2"/>
  <c r="G43" i="2" s="1"/>
  <c r="E44" i="2"/>
  <c r="G44" i="2" s="1"/>
  <c r="E45" i="2"/>
  <c r="G45" i="2" s="1"/>
  <c r="E46" i="2"/>
  <c r="G46" i="2" s="1"/>
  <c r="E47" i="2"/>
  <c r="G47" i="2" s="1"/>
  <c r="E48" i="2"/>
  <c r="G48" i="2" s="1"/>
  <c r="E49" i="2"/>
  <c r="F49" i="2"/>
  <c r="E51" i="2"/>
  <c r="G51" i="2" s="1"/>
  <c r="E52" i="2"/>
  <c r="E53" i="2"/>
  <c r="E54" i="2"/>
  <c r="E55" i="2"/>
  <c r="E56" i="2"/>
  <c r="E57" i="2"/>
  <c r="E58" i="2"/>
  <c r="F59" i="2"/>
  <c r="E60" i="2"/>
  <c r="F60" i="2"/>
  <c r="E61" i="2"/>
  <c r="F61" i="2"/>
  <c r="E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F85" i="2"/>
  <c r="F87" i="2"/>
  <c r="E89" i="2"/>
  <c r="F3" i="2"/>
  <c r="B16" i="3"/>
  <c r="F62" i="2"/>
  <c r="F42" i="2"/>
  <c r="F43" i="2"/>
  <c r="F44" i="2"/>
  <c r="F45" i="2"/>
  <c r="F46" i="2"/>
  <c r="F47" i="2"/>
  <c r="F48" i="2"/>
  <c r="E50" i="2"/>
  <c r="F50" i="2"/>
  <c r="F51" i="2"/>
  <c r="F52" i="2"/>
  <c r="F53" i="2"/>
  <c r="F54" i="2"/>
  <c r="F55" i="2"/>
  <c r="F56" i="2"/>
  <c r="F57" i="2"/>
  <c r="E59" i="2"/>
  <c r="F2" i="2"/>
  <c r="E85" i="2"/>
  <c r="G85" i="2" s="1"/>
  <c r="F86" i="2"/>
  <c r="E88" i="2"/>
  <c r="F89" i="2"/>
  <c r="E3" i="2"/>
  <c r="G3" i="2" s="1"/>
  <c r="B6" i="3"/>
  <c r="B7" i="3"/>
  <c r="E92" i="2"/>
  <c r="F92" i="2"/>
  <c r="E94" i="2"/>
  <c r="E96" i="2"/>
  <c r="F96" i="2"/>
  <c r="E99" i="2"/>
  <c r="F99" i="2"/>
  <c r="E101" i="2"/>
  <c r="E87" i="2"/>
  <c r="G87" i="2" s="1"/>
  <c r="F121" i="2"/>
  <c r="F122" i="2"/>
  <c r="F125" i="2"/>
  <c r="E128" i="2"/>
  <c r="E130" i="2"/>
  <c r="E132" i="2"/>
  <c r="G132" i="2" s="1"/>
  <c r="F133" i="2"/>
  <c r="F134" i="2"/>
  <c r="F135" i="2"/>
  <c r="F136" i="2"/>
  <c r="F137" i="2"/>
  <c r="F138" i="2"/>
  <c r="F139" i="2"/>
  <c r="E142" i="2"/>
  <c r="G142" i="2" s="1"/>
  <c r="F143" i="2"/>
  <c r="E147" i="2"/>
  <c r="F147" i="2"/>
  <c r="F149" i="2"/>
  <c r="E153" i="2"/>
  <c r="G153" i="2" s="1"/>
  <c r="E155" i="2"/>
  <c r="G155" i="2" s="1"/>
  <c r="F160" i="2"/>
  <c r="E163" i="2"/>
  <c r="G163" i="2" s="1"/>
  <c r="E166" i="2"/>
  <c r="G166" i="2" s="1"/>
  <c r="F167" i="2"/>
  <c r="F168" i="2"/>
  <c r="F171" i="2"/>
  <c r="E175" i="2"/>
  <c r="E177" i="2"/>
  <c r="G177" i="2" s="1"/>
  <c r="F178" i="2"/>
  <c r="F179" i="2"/>
  <c r="B13" i="3"/>
  <c r="F101" i="2"/>
  <c r="E102" i="2"/>
  <c r="F102" i="2"/>
  <c r="F103" i="2"/>
  <c r="E104" i="2"/>
  <c r="F104" i="2"/>
  <c r="E105" i="2"/>
  <c r="G105" i="2" s="1"/>
  <c r="E107" i="2"/>
  <c r="F107" i="2"/>
  <c r="E109" i="2"/>
  <c r="F109" i="2"/>
  <c r="E110" i="2"/>
  <c r="F110" i="2"/>
  <c r="F111" i="2"/>
  <c r="E112" i="2"/>
  <c r="F112" i="2"/>
  <c r="E115" i="2"/>
  <c r="G115" i="2" s="1"/>
  <c r="E118" i="2"/>
  <c r="G118" i="2" s="1"/>
  <c r="E120" i="2"/>
  <c r="F120" i="2"/>
  <c r="E123" i="2"/>
  <c r="F123" i="2"/>
  <c r="E124" i="2"/>
  <c r="F124" i="2"/>
  <c r="E126" i="2"/>
  <c r="F126" i="2"/>
  <c r="E127" i="2"/>
  <c r="G127" i="2" s="1"/>
  <c r="F128" i="2"/>
  <c r="E129" i="2"/>
  <c r="G129" i="2" s="1"/>
  <c r="F130" i="2"/>
  <c r="E131" i="2"/>
  <c r="G131" i="2" s="1"/>
  <c r="F157" i="2"/>
  <c r="E158" i="2"/>
  <c r="G158" i="2" s="1"/>
  <c r="F159" i="2"/>
  <c r="E160" i="2"/>
  <c r="G160" i="2" s="1"/>
  <c r="E161" i="2"/>
  <c r="G161" i="2" s="1"/>
  <c r="E162" i="2"/>
  <c r="F162" i="2"/>
  <c r="F164" i="2"/>
  <c r="E169" i="2"/>
  <c r="E171" i="2"/>
  <c r="E174" i="2"/>
  <c r="F175" i="2"/>
  <c r="E180" i="2"/>
  <c r="E181" i="2"/>
  <c r="E111" i="2"/>
  <c r="E113" i="2"/>
  <c r="F113" i="2"/>
  <c r="E114" i="2"/>
  <c r="F115" i="2"/>
  <c r="E116" i="2"/>
  <c r="F116" i="2"/>
  <c r="E117" i="2"/>
  <c r="F117" i="2"/>
  <c r="F118" i="2"/>
  <c r="E119" i="2"/>
  <c r="F119" i="2"/>
  <c r="E121" i="2"/>
  <c r="E122" i="2"/>
  <c r="E125" i="2"/>
  <c r="F127" i="2"/>
  <c r="F129" i="2"/>
  <c r="F131" i="2"/>
  <c r="F132" i="2"/>
  <c r="E135" i="2"/>
  <c r="E136" i="2"/>
  <c r="E137" i="2"/>
  <c r="E138" i="2"/>
  <c r="E139" i="2"/>
  <c r="F140" i="2"/>
  <c r="E141" i="2"/>
  <c r="F141" i="2"/>
  <c r="F142" i="2"/>
  <c r="E143" i="2"/>
  <c r="F145" i="2"/>
  <c r="E146" i="2"/>
  <c r="G146" i="2" s="1"/>
  <c r="F148" i="2"/>
  <c r="F151" i="2"/>
  <c r="E152" i="2"/>
  <c r="G152" i="2" s="1"/>
  <c r="F153" i="2"/>
  <c r="E154" i="2"/>
  <c r="G154" i="2" s="1"/>
  <c r="F155" i="2"/>
  <c r="F161" i="2"/>
  <c r="E164" i="2"/>
  <c r="F165" i="2"/>
  <c r="F180" i="2"/>
  <c r="F181" i="2"/>
  <c r="E133" i="2"/>
  <c r="E134" i="2"/>
  <c r="E140" i="2"/>
  <c r="E144" i="2"/>
  <c r="F144" i="2"/>
  <c r="E145" i="2"/>
  <c r="F146" i="2"/>
  <c r="E148" i="2"/>
  <c r="E149" i="2"/>
  <c r="E150" i="2"/>
  <c r="F150" i="2"/>
  <c r="E151" i="2"/>
  <c r="F152" i="2"/>
  <c r="F154" i="2"/>
  <c r="E156" i="2"/>
  <c r="F156" i="2"/>
  <c r="E157" i="2"/>
  <c r="F158" i="2"/>
  <c r="E159" i="2"/>
  <c r="F163" i="2"/>
  <c r="E165" i="2"/>
  <c r="F166" i="2"/>
  <c r="E167" i="2"/>
  <c r="E168" i="2"/>
  <c r="F169" i="2"/>
  <c r="E170" i="2"/>
  <c r="F170" i="2"/>
  <c r="E172" i="2"/>
  <c r="F172" i="2"/>
  <c r="E173" i="2"/>
  <c r="F173" i="2"/>
  <c r="F174" i="2"/>
  <c r="E176" i="2"/>
  <c r="F176" i="2"/>
  <c r="F177" i="2"/>
  <c r="E178" i="2"/>
  <c r="E179" i="2"/>
  <c r="F114" i="2"/>
  <c r="B9" i="3"/>
  <c r="B10" i="3"/>
  <c r="B11" i="3"/>
  <c r="I11" i="2"/>
  <c r="F18" i="3"/>
  <c r="I6" i="2"/>
  <c r="J6" i="2" s="1"/>
  <c r="I7" i="2"/>
  <c r="J7" i="2" s="1"/>
  <c r="I8" i="2"/>
  <c r="J8" i="2" s="1"/>
  <c r="I9" i="2"/>
  <c r="J9" i="2" s="1"/>
  <c r="I10" i="2"/>
  <c r="J10" i="2" s="1"/>
  <c r="I13" i="2"/>
  <c r="J13" i="2" s="1"/>
  <c r="I14" i="2"/>
  <c r="I12" i="2"/>
  <c r="J12" i="2" s="1"/>
  <c r="G12" i="2" l="1"/>
  <c r="G14" i="2"/>
  <c r="G26" i="2"/>
  <c r="G35" i="2"/>
  <c r="G90" i="2"/>
  <c r="G93" i="2"/>
  <c r="G97" i="2"/>
  <c r="G91" i="2"/>
  <c r="G95" i="2"/>
  <c r="G109" i="2"/>
  <c r="G126" i="2"/>
  <c r="G52" i="2"/>
  <c r="G53" i="2"/>
  <c r="G54" i="2"/>
  <c r="G55" i="2"/>
  <c r="G56" i="2"/>
  <c r="G57" i="2"/>
  <c r="G58" i="2"/>
  <c r="G60" i="2"/>
  <c r="G61" i="2"/>
  <c r="G62" i="2"/>
  <c r="G110" i="2"/>
  <c r="G169" i="2"/>
  <c r="G171" i="2"/>
  <c r="G174" i="2"/>
  <c r="G180" i="2"/>
  <c r="G181" i="2"/>
  <c r="G111" i="2"/>
  <c r="G113" i="2"/>
  <c r="G140" i="2"/>
  <c r="G145" i="2"/>
  <c r="G36" i="2"/>
  <c r="G37" i="2"/>
  <c r="G30" i="2"/>
  <c r="G31" i="2"/>
  <c r="G100" i="2"/>
  <c r="G106" i="2"/>
  <c r="G103" i="2"/>
  <c r="G98" i="2"/>
  <c r="G108" i="2"/>
  <c r="G102" i="2"/>
  <c r="G107" i="2"/>
  <c r="G120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89" i="2"/>
  <c r="G50" i="2"/>
  <c r="G59" i="2"/>
  <c r="G88" i="2"/>
  <c r="G92" i="2"/>
  <c r="G94" i="2"/>
  <c r="G96" i="2"/>
  <c r="G99" i="2"/>
  <c r="G101" i="2"/>
  <c r="G128" i="2"/>
  <c r="G130" i="2"/>
  <c r="G147" i="2"/>
  <c r="G175" i="2"/>
  <c r="G124" i="2"/>
  <c r="G162" i="2"/>
  <c r="G104" i="2"/>
  <c r="G114" i="2"/>
  <c r="G116" i="2"/>
  <c r="G117" i="2"/>
  <c r="G119" i="2"/>
  <c r="G121" i="2"/>
  <c r="G122" i="2"/>
  <c r="G125" i="2"/>
  <c r="G135" i="2"/>
  <c r="G136" i="2"/>
  <c r="G137" i="2"/>
  <c r="G138" i="2"/>
  <c r="G139" i="2"/>
  <c r="G141" i="2"/>
  <c r="G143" i="2"/>
  <c r="G164" i="2"/>
  <c r="G133" i="2"/>
  <c r="G134" i="2"/>
  <c r="G144" i="2"/>
  <c r="I15" i="2"/>
  <c r="J15" i="2" s="1"/>
  <c r="G18" i="2"/>
  <c r="G19" i="2"/>
  <c r="G21" i="2"/>
  <c r="G22" i="2"/>
  <c r="G24" i="2"/>
  <c r="G25" i="2"/>
  <c r="G28" i="2"/>
  <c r="G29" i="2"/>
  <c r="G32" i="2"/>
  <c r="G38" i="2"/>
  <c r="G82" i="2"/>
  <c r="G84" i="2"/>
  <c r="G49" i="2"/>
  <c r="G112" i="2"/>
  <c r="G123" i="2"/>
  <c r="G148" i="2"/>
  <c r="G149" i="2"/>
  <c r="G150" i="2"/>
  <c r="G151" i="2"/>
  <c r="G156" i="2"/>
  <c r="G157" i="2"/>
  <c r="G159" i="2"/>
  <c r="G165" i="2"/>
  <c r="G167" i="2"/>
  <c r="G168" i="2"/>
  <c r="G170" i="2"/>
  <c r="G172" i="2"/>
  <c r="G173" i="2"/>
  <c r="G178" i="2"/>
  <c r="G179" i="2"/>
  <c r="G23" i="2"/>
  <c r="G5" i="2"/>
  <c r="G83" i="2"/>
  <c r="G15" i="2"/>
  <c r="I2" i="2"/>
  <c r="G2" i="2"/>
  <c r="G176" i="2"/>
  <c r="I176" i="2"/>
  <c r="I25" i="2"/>
  <c r="J25" i="2" s="1"/>
  <c r="I27" i="2"/>
  <c r="J27" i="2" s="1"/>
  <c r="I20" i="2"/>
  <c r="J20" i="2" s="1"/>
  <c r="I22" i="2"/>
  <c r="J22" i="2" s="1"/>
  <c r="I23" i="2"/>
  <c r="J23" i="2" s="1"/>
  <c r="I19" i="2"/>
  <c r="J19" i="2" s="1"/>
  <c r="I26" i="2"/>
  <c r="I16" i="2"/>
  <c r="J16" i="2" s="1"/>
  <c r="I18" i="2"/>
  <c r="J18" i="2" s="1"/>
  <c r="I21" i="2"/>
  <c r="J21" i="2" s="1"/>
  <c r="D3" i="3"/>
  <c r="I24" i="2"/>
  <c r="J24" i="2" s="1"/>
  <c r="I5" i="2"/>
  <c r="J5" i="2" s="1"/>
  <c r="E183" i="2"/>
  <c r="F183" i="2"/>
  <c r="C3" i="3"/>
  <c r="E3" i="3" s="1"/>
  <c r="I17" i="2"/>
  <c r="J17" i="2" s="1"/>
  <c r="I4" i="2"/>
  <c r="J4" i="2" s="1"/>
  <c r="I28" i="2"/>
  <c r="J28" i="2" s="1"/>
  <c r="I29" i="2"/>
  <c r="J29" i="2" s="1"/>
  <c r="C4" i="3"/>
  <c r="I36" i="2"/>
  <c r="J36" i="2" s="1"/>
  <c r="I31" i="2"/>
  <c r="J31" i="2" s="1"/>
  <c r="I37" i="2"/>
  <c r="J37" i="2" s="1"/>
  <c r="I32" i="2"/>
  <c r="J32" i="2" s="1"/>
  <c r="I35" i="2"/>
  <c r="J35" i="2" s="1"/>
  <c r="I33" i="2"/>
  <c r="J33" i="2" s="1"/>
  <c r="I30" i="2"/>
  <c r="J30" i="2" s="1"/>
  <c r="D4" i="3"/>
  <c r="I40" i="2"/>
  <c r="J40" i="2" s="1"/>
  <c r="I41" i="2"/>
  <c r="J41" i="2" s="1"/>
  <c r="I39" i="2"/>
  <c r="J39" i="2" s="1"/>
  <c r="I34" i="2"/>
  <c r="J34" i="2" s="1"/>
  <c r="I181" i="2"/>
  <c r="I113" i="2"/>
  <c r="J113" i="2" s="1"/>
  <c r="I117" i="2"/>
  <c r="J117" i="2" s="1"/>
  <c r="I119" i="2"/>
  <c r="J119" i="2" s="1"/>
  <c r="C14" i="3"/>
  <c r="D15" i="3"/>
  <c r="C11" i="3"/>
  <c r="C13" i="3"/>
  <c r="D10" i="3"/>
  <c r="C12" i="3"/>
  <c r="D12" i="3"/>
  <c r="I97" i="2"/>
  <c r="J97" i="2" s="1"/>
  <c r="I106" i="2"/>
  <c r="J106" i="2" s="1"/>
  <c r="I38" i="2"/>
  <c r="I78" i="2"/>
  <c r="J78" i="2" s="1"/>
  <c r="I83" i="2"/>
  <c r="J83" i="2" s="1"/>
  <c r="I80" i="2"/>
  <c r="J80" i="2" s="1"/>
  <c r="I82" i="2"/>
  <c r="J82" i="2" s="1"/>
  <c r="I76" i="2"/>
  <c r="J76" i="2" s="1"/>
  <c r="I84" i="2"/>
  <c r="J84" i="2" s="1"/>
  <c r="I79" i="2"/>
  <c r="J79" i="2" s="1"/>
  <c r="I77" i="2"/>
  <c r="J77" i="2" s="1"/>
  <c r="I81" i="2"/>
  <c r="J81" i="2" s="1"/>
  <c r="I151" i="2"/>
  <c r="J151" i="2" s="1"/>
  <c r="J176" i="2"/>
  <c r="I108" i="2"/>
  <c r="J108" i="2" s="1"/>
  <c r="I122" i="2"/>
  <c r="I125" i="2"/>
  <c r="J125" i="2" s="1"/>
  <c r="I133" i="2"/>
  <c r="J133" i="2" s="1"/>
  <c r="I135" i="2"/>
  <c r="J135" i="2" s="1"/>
  <c r="I137" i="2"/>
  <c r="J137" i="2" s="1"/>
  <c r="I140" i="2"/>
  <c r="J140" i="2" s="1"/>
  <c r="I163" i="2"/>
  <c r="J163" i="2" s="1"/>
  <c r="I169" i="2"/>
  <c r="J169" i="2" s="1"/>
  <c r="I171" i="2"/>
  <c r="J171" i="2" s="1"/>
  <c r="I132" i="2"/>
  <c r="J132" i="2" s="1"/>
  <c r="I134" i="2"/>
  <c r="I136" i="2"/>
  <c r="J136" i="2" s="1"/>
  <c r="I141" i="2"/>
  <c r="J141" i="2" s="1"/>
  <c r="I156" i="2"/>
  <c r="J156" i="2" s="1"/>
  <c r="I164" i="2"/>
  <c r="J164" i="2" s="1"/>
  <c r="I167" i="2"/>
  <c r="J167" i="2" s="1"/>
  <c r="I177" i="2"/>
  <c r="J177" i="2" s="1"/>
  <c r="I179" i="2"/>
  <c r="J179" i="2" s="1"/>
  <c r="I100" i="2"/>
  <c r="J100" i="2" s="1"/>
  <c r="I121" i="2"/>
  <c r="J121" i="2" s="1"/>
  <c r="I144" i="2"/>
  <c r="J144" i="2" s="1"/>
  <c r="I146" i="2"/>
  <c r="I148" i="2"/>
  <c r="J148" i="2" s="1"/>
  <c r="I168" i="2"/>
  <c r="J168" i="2" s="1"/>
  <c r="I170" i="2"/>
  <c r="I174" i="2"/>
  <c r="J174" i="2" s="1"/>
  <c r="I95" i="2"/>
  <c r="J95" i="2" s="1"/>
  <c r="I166" i="2"/>
  <c r="J166" i="2" s="1"/>
  <c r="I98" i="2"/>
  <c r="I116" i="2"/>
  <c r="J116" i="2" s="1"/>
  <c r="I138" i="2"/>
  <c r="J138" i="2" s="1"/>
  <c r="I139" i="2"/>
  <c r="J139" i="2" s="1"/>
  <c r="I150" i="2"/>
  <c r="J150" i="2" s="1"/>
  <c r="I152" i="2"/>
  <c r="J152" i="2" s="1"/>
  <c r="I154" i="2"/>
  <c r="J154" i="2" s="1"/>
  <c r="I165" i="2"/>
  <c r="J165" i="2" s="1"/>
  <c r="I175" i="2"/>
  <c r="J175" i="2" s="1"/>
  <c r="I96" i="2"/>
  <c r="J96" i="2" s="1"/>
  <c r="I101" i="2"/>
  <c r="J101" i="2" s="1"/>
  <c r="I126" i="2"/>
  <c r="J126" i="2" s="1"/>
  <c r="I50" i="2"/>
  <c r="I93" i="2"/>
  <c r="J93" i="2" s="1"/>
  <c r="I90" i="2"/>
  <c r="J90" i="2" s="1"/>
  <c r="I91" i="2"/>
  <c r="J91" i="2" s="1"/>
  <c r="C6" i="3"/>
  <c r="D9" i="3"/>
  <c r="I57" i="2"/>
  <c r="J57" i="2" s="1"/>
  <c r="I59" i="2"/>
  <c r="J59" i="2" s="1"/>
  <c r="I3" i="2"/>
  <c r="J3" i="2" s="1"/>
  <c r="I58" i="2"/>
  <c r="J58" i="2" s="1"/>
  <c r="I143" i="2"/>
  <c r="J143" i="2" s="1"/>
  <c r="I149" i="2"/>
  <c r="J149" i="2" s="1"/>
  <c r="I178" i="2"/>
  <c r="J178" i="2" s="1"/>
  <c r="C2" i="3"/>
  <c r="I64" i="2"/>
  <c r="J64" i="2" s="1"/>
  <c r="I54" i="2"/>
  <c r="J54" i="2" s="1"/>
  <c r="I87" i="2"/>
  <c r="J87" i="2" s="1"/>
  <c r="I89" i="2"/>
  <c r="J89" i="2" s="1"/>
  <c r="I71" i="2"/>
  <c r="J71" i="2" s="1"/>
  <c r="I51" i="2"/>
  <c r="J51" i="2" s="1"/>
  <c r="I48" i="2"/>
  <c r="J48" i="2" s="1"/>
  <c r="I42" i="2"/>
  <c r="J42" i="2" s="1"/>
  <c r="I63" i="2"/>
  <c r="J63" i="2" s="1"/>
  <c r="I65" i="2"/>
  <c r="J65" i="2" s="1"/>
  <c r="I66" i="2"/>
  <c r="J66" i="2" s="1"/>
  <c r="I145" i="2"/>
  <c r="J145" i="2" s="1"/>
  <c r="D14" i="3"/>
  <c r="I172" i="2"/>
  <c r="J172" i="2" s="1"/>
  <c r="D7" i="3"/>
  <c r="I43" i="2"/>
  <c r="J43" i="2" s="1"/>
  <c r="I72" i="2"/>
  <c r="J72" i="2" s="1"/>
  <c r="I44" i="2"/>
  <c r="J44" i="2" s="1"/>
  <c r="I75" i="2"/>
  <c r="J75" i="2" s="1"/>
  <c r="I52" i="2"/>
  <c r="J52" i="2" s="1"/>
  <c r="I86" i="2"/>
  <c r="I88" i="2"/>
  <c r="J88" i="2" s="1"/>
  <c r="C5" i="3"/>
  <c r="E5" i="3" s="1"/>
  <c r="D5" i="3"/>
  <c r="I49" i="2"/>
  <c r="D6" i="3"/>
  <c r="I56" i="2"/>
  <c r="J56" i="2" s="1"/>
  <c r="D11" i="3"/>
  <c r="C15" i="3"/>
  <c r="E15" i="3" s="1"/>
  <c r="D2" i="3"/>
  <c r="I61" i="2"/>
  <c r="J61" i="2" s="1"/>
  <c r="C7" i="3"/>
  <c r="E7" i="3" s="1"/>
  <c r="I67" i="2"/>
  <c r="C8" i="3"/>
  <c r="D8" i="3"/>
  <c r="C9" i="3"/>
  <c r="E9" i="3" s="1"/>
  <c r="I46" i="2"/>
  <c r="J46" i="2" s="1"/>
  <c r="I55" i="2"/>
  <c r="J55" i="2" s="1"/>
  <c r="I74" i="2"/>
  <c r="I45" i="2"/>
  <c r="J45" i="2" s="1"/>
  <c r="I47" i="2"/>
  <c r="J47" i="2" s="1"/>
  <c r="I53" i="2"/>
  <c r="J53" i="2" s="1"/>
  <c r="I85" i="2"/>
  <c r="J85" i="2" s="1"/>
  <c r="I60" i="2"/>
  <c r="J60" i="2" s="1"/>
  <c r="I62" i="2"/>
  <c r="I69" i="2"/>
  <c r="J69" i="2" s="1"/>
  <c r="I70" i="2"/>
  <c r="J70" i="2" s="1"/>
  <c r="I68" i="2"/>
  <c r="J68" i="2" s="1"/>
  <c r="I73" i="2"/>
  <c r="J73" i="2" s="1"/>
  <c r="B18" i="3"/>
  <c r="C10" i="3"/>
  <c r="E10" i="3" s="1"/>
  <c r="I142" i="2"/>
  <c r="J142" i="2" s="1"/>
  <c r="I147" i="2"/>
  <c r="J147" i="2" s="1"/>
  <c r="I153" i="2"/>
  <c r="J153" i="2" s="1"/>
  <c r="I155" i="2"/>
  <c r="J155" i="2" s="1"/>
  <c r="D16" i="3"/>
  <c r="I130" i="2"/>
  <c r="J130" i="2" s="1"/>
  <c r="I102" i="2"/>
  <c r="J102" i="2" s="1"/>
  <c r="I105" i="2"/>
  <c r="J105" i="2" s="1"/>
  <c r="I109" i="2"/>
  <c r="J109" i="2" s="1"/>
  <c r="I111" i="2"/>
  <c r="J111" i="2" s="1"/>
  <c r="I115" i="2"/>
  <c r="J115" i="2" s="1"/>
  <c r="I180" i="2"/>
  <c r="J180" i="2" s="1"/>
  <c r="I92" i="2"/>
  <c r="J92" i="2" s="1"/>
  <c r="I161" i="2"/>
  <c r="J161" i="2" s="1"/>
  <c r="I99" i="2"/>
  <c r="J99" i="2" s="1"/>
  <c r="I103" i="2"/>
  <c r="J103" i="2" s="1"/>
  <c r="I110" i="2"/>
  <c r="I118" i="2"/>
  <c r="J118" i="2" s="1"/>
  <c r="I120" i="2"/>
  <c r="J120" i="2" s="1"/>
  <c r="I127" i="2"/>
  <c r="J127" i="2" s="1"/>
  <c r="I129" i="2"/>
  <c r="J129" i="2" s="1"/>
  <c r="I157" i="2"/>
  <c r="J157" i="2" s="1"/>
  <c r="I123" i="2"/>
  <c r="J123" i="2" s="1"/>
  <c r="I128" i="2"/>
  <c r="J128" i="2" s="1"/>
  <c r="I162" i="2"/>
  <c r="J162" i="2" s="1"/>
  <c r="I94" i="2"/>
  <c r="J94" i="2" s="1"/>
  <c r="I104" i="2"/>
  <c r="J104" i="2" s="1"/>
  <c r="I107" i="2"/>
  <c r="J107" i="2" s="1"/>
  <c r="I112" i="2"/>
  <c r="J112" i="2" s="1"/>
  <c r="I124" i="2"/>
  <c r="J124" i="2" s="1"/>
  <c r="I131" i="2"/>
  <c r="J131" i="2" s="1"/>
  <c r="I159" i="2"/>
  <c r="J159" i="2" s="1"/>
  <c r="I160" i="2"/>
  <c r="J160" i="2" s="1"/>
  <c r="I158" i="2"/>
  <c r="I114" i="2"/>
  <c r="J114" i="2" s="1"/>
  <c r="D13" i="3"/>
  <c r="C16" i="3"/>
  <c r="I173" i="2"/>
  <c r="J173" i="2" s="1"/>
  <c r="J11" i="2"/>
  <c r="J14" i="2"/>
  <c r="J26" i="2"/>
  <c r="J158" i="2"/>
  <c r="E4" i="3" l="1"/>
  <c r="E12" i="3"/>
  <c r="E14" i="3"/>
  <c r="E11" i="3"/>
  <c r="E13" i="3"/>
  <c r="E6" i="3"/>
  <c r="E2" i="3"/>
  <c r="E8" i="3"/>
  <c r="E16" i="3"/>
  <c r="E18" i="3"/>
  <c r="I183" i="2"/>
  <c r="G183" i="2"/>
  <c r="H3" i="3"/>
  <c r="G3" i="3"/>
  <c r="J86" i="2"/>
  <c r="H4" i="3"/>
  <c r="G4" i="3"/>
  <c r="J110" i="2"/>
  <c r="J181" i="2"/>
  <c r="J38" i="2"/>
  <c r="J170" i="2"/>
  <c r="J146" i="2"/>
  <c r="J98" i="2"/>
  <c r="J50" i="2"/>
  <c r="G11" i="3"/>
  <c r="J67" i="2"/>
  <c r="J49" i="2"/>
  <c r="J122" i="2"/>
  <c r="J134" i="2"/>
  <c r="G10" i="3"/>
  <c r="G5" i="3"/>
  <c r="J62" i="2"/>
  <c r="H15" i="3"/>
  <c r="G15" i="3"/>
  <c r="J2" i="2"/>
  <c r="G16" i="3"/>
  <c r="G9" i="3"/>
  <c r="J74" i="2"/>
  <c r="H8" i="3" s="1"/>
  <c r="G8" i="3"/>
  <c r="G6" i="3"/>
  <c r="G2" i="3"/>
  <c r="G7" i="3"/>
  <c r="D18" i="3"/>
  <c r="G14" i="3"/>
  <c r="C18" i="3"/>
  <c r="G12" i="3"/>
  <c r="G13" i="3"/>
  <c r="H9" i="3" l="1"/>
  <c r="H11" i="3"/>
  <c r="H10" i="3"/>
  <c r="H6" i="3"/>
  <c r="H14" i="3"/>
  <c r="H16" i="3"/>
  <c r="H5" i="3"/>
  <c r="H13" i="3"/>
  <c r="H7" i="3"/>
  <c r="H12" i="3"/>
  <c r="J183" i="2"/>
  <c r="H2" i="3"/>
  <c r="G18" i="3"/>
  <c r="H18" i="3" l="1"/>
  <c r="E7" i="1" s="1"/>
</calcChain>
</file>

<file path=xl/sharedStrings.xml><?xml version="1.0" encoding="utf-8"?>
<sst xmlns="http://schemas.openxmlformats.org/spreadsheetml/2006/main" count="49" uniqueCount="48">
  <si>
    <t>Prices</t>
  </si>
  <si>
    <t>Oil ($/bbl)</t>
  </si>
  <si>
    <t>NGL ($/bbl)</t>
  </si>
  <si>
    <t>Gas ($/MCF)</t>
  </si>
  <si>
    <t>Source</t>
  </si>
  <si>
    <t>Product Mix</t>
  </si>
  <si>
    <t>Oil %</t>
  </si>
  <si>
    <t>NGL %</t>
  </si>
  <si>
    <t>Natural Gas %</t>
  </si>
  <si>
    <t>Costs ($/BOE)</t>
  </si>
  <si>
    <t>LOE (Lease operating expenses)</t>
  </si>
  <si>
    <t>Production and ad valorem taxes</t>
  </si>
  <si>
    <t>Oil transportation and marketing expenses</t>
  </si>
  <si>
    <t>Gas gathering, processing and transportation expenses</t>
  </si>
  <si>
    <t>General and administrative (excluding LTIP and transaction costs)</t>
  </si>
  <si>
    <t>Capital</t>
  </si>
  <si>
    <t>Pads per month</t>
  </si>
  <si>
    <t>Cost per pad ($MM)</t>
  </si>
  <si>
    <t>Drill Months</t>
  </si>
  <si>
    <t>Derived from budget</t>
  </si>
  <si>
    <t>4 wells x $11.9 MM</t>
  </si>
  <si>
    <t>10 yrs</t>
  </si>
  <si>
    <t>Discount</t>
  </si>
  <si>
    <t>Annual rate</t>
  </si>
  <si>
    <t>SEC standard</t>
  </si>
  <si>
    <t>Month</t>
  </si>
  <si>
    <t>Year</t>
  </si>
  <si>
    <t>Production (MBOE)</t>
  </si>
  <si>
    <t>Revenue ($MM)</t>
  </si>
  <si>
    <t>OPEX ($MM)</t>
  </si>
  <si>
    <t>CAPEX ($MM)</t>
  </si>
  <si>
    <t>PV ($MM)</t>
  </si>
  <si>
    <t>Total</t>
  </si>
  <si>
    <t>Decline Multiplier</t>
  </si>
  <si>
    <t>Sensitivity dial (1.0 = base case)</t>
  </si>
  <si>
    <t>Oil Price (down) × Decline Multiplier (across)</t>
  </si>
  <si>
    <t xml:space="preserve">PV-10 Sensitivity ($MM): </t>
  </si>
  <si>
    <t>Revenue ($)</t>
  </si>
  <si>
    <t>OPEX ($)</t>
  </si>
  <si>
    <t>CAPEX ($)</t>
  </si>
  <si>
    <t>Free Cash Flow ($)</t>
  </si>
  <si>
    <t>PV  ($)</t>
  </si>
  <si>
    <t>Gross BOE/d</t>
  </si>
  <si>
    <t>Adjusted (BOE/d)</t>
  </si>
  <si>
    <t>BOE / month</t>
  </si>
  <si>
    <t>Free Cash Flow ($MM)</t>
  </si>
  <si>
    <t>EBITDA ($)</t>
  </si>
  <si>
    <t>EBITDA ($MM)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</si>
</sst>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&quot;x&quot;"/>
    <numFmt numFmtId="166" formatCode="&quot;$&quot;#,##0.00_);\(&quot;$&quot;#,##0.000\)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2060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163080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i/>
      <sz val="9"/>
      <color theme="0" tint="-0.34998626667073579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0"/>
      <name val="Aptos Narrow"/>
      <family val="2"/>
      <scheme val="minor"/>
    </font>
    <font>
      <sz val="10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6308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163080"/>
      </top>
      <bottom style="thin">
        <color theme="0" tint="-0.24994659260841701"/>
      </bottom>
      <diagonal/>
    </border>
    <border>
      <left/>
      <right/>
      <top style="thin">
        <color rgb="FF163080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6" fillId="0" borderId="1" xfId="0" applyFont="1" applyBorder="1"/>
    <xf numFmtId="0" fontId="6" fillId="0" borderId="0" xfId="0" applyFont="1"/>
    <xf numFmtId="0" fontId="7" fillId="0" borderId="1" xfId="0" applyFont="1" applyBorder="1"/>
    <xf numFmtId="0" fontId="8" fillId="0" borderId="1" xfId="4" applyFont="1" applyBorder="1"/>
    <xf numFmtId="0" fontId="8" fillId="0" borderId="1" xfId="0" applyFont="1" applyBorder="1"/>
    <xf numFmtId="0" fontId="10" fillId="0" borderId="0" xfId="0" applyFont="1"/>
    <xf numFmtId="0" fontId="4" fillId="0" borderId="1" xfId="0" applyFont="1" applyBorder="1"/>
    <xf numFmtId="3" fontId="3" fillId="0" borderId="1" xfId="0" applyNumberFormat="1" applyFont="1" applyBorder="1"/>
    <xf numFmtId="3" fontId="6" fillId="0" borderId="1" xfId="0" applyNumberFormat="1" applyFont="1" applyBorder="1"/>
    <xf numFmtId="5" fontId="6" fillId="0" borderId="1" xfId="2" applyNumberFormat="1" applyFont="1" applyBorder="1"/>
    <xf numFmtId="5" fontId="7" fillId="0" borderId="1" xfId="2" applyNumberFormat="1" applyFont="1" applyBorder="1"/>
    <xf numFmtId="5" fontId="6" fillId="0" borderId="0" xfId="2" applyNumberFormat="1" applyFont="1"/>
    <xf numFmtId="5" fontId="7" fillId="0" borderId="0" xfId="2" applyNumberFormat="1" applyFont="1"/>
    <xf numFmtId="164" fontId="6" fillId="0" borderId="1" xfId="1" applyNumberFormat="1" applyFont="1" applyBorder="1"/>
    <xf numFmtId="164" fontId="6" fillId="0" borderId="0" xfId="1" applyNumberFormat="1" applyFont="1"/>
    <xf numFmtId="5" fontId="6" fillId="0" borderId="1" xfId="1" applyNumberFormat="1" applyFont="1" applyBorder="1"/>
    <xf numFmtId="5" fontId="6" fillId="0" borderId="0" xfId="1" applyNumberFormat="1" applyFont="1"/>
    <xf numFmtId="0" fontId="10" fillId="3" borderId="3" xfId="0" applyFont="1" applyFill="1" applyBorder="1"/>
    <xf numFmtId="164" fontId="10" fillId="3" borderId="3" xfId="1" applyNumberFormat="1" applyFont="1" applyFill="1" applyBorder="1"/>
    <xf numFmtId="5" fontId="10" fillId="3" borderId="3" xfId="1" applyNumberFormat="1" applyFont="1" applyFill="1" applyBorder="1"/>
    <xf numFmtId="3" fontId="10" fillId="3" borderId="2" xfId="0" applyNumberFormat="1" applyFont="1" applyFill="1" applyBorder="1"/>
    <xf numFmtId="3" fontId="10" fillId="3" borderId="2" xfId="1" applyNumberFormat="1" applyFont="1" applyFill="1" applyBorder="1"/>
    <xf numFmtId="5" fontId="10" fillId="3" borderId="2" xfId="2" applyNumberFormat="1" applyFont="1" applyFill="1" applyBorder="1"/>
    <xf numFmtId="0" fontId="1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7" fontId="12" fillId="2" borderId="1" xfId="2" applyNumberFormat="1" applyFont="1" applyFill="1" applyBorder="1" applyAlignment="1">
      <alignment horizontal="center" vertical="center"/>
    </xf>
    <xf numFmtId="0" fontId="5" fillId="3" borderId="1" xfId="0" applyFont="1" applyFill="1" applyBorder="1"/>
    <xf numFmtId="5" fontId="6" fillId="0" borderId="0" xfId="0" applyNumberFormat="1" applyFont="1"/>
    <xf numFmtId="7" fontId="13" fillId="0" borderId="1" xfId="2" applyNumberFormat="1" applyFont="1" applyBorder="1"/>
    <xf numFmtId="0" fontId="13" fillId="0" borderId="1" xfId="0" applyFont="1" applyBorder="1"/>
    <xf numFmtId="9" fontId="13" fillId="0" borderId="1" xfId="3" applyFont="1" applyBorder="1"/>
    <xf numFmtId="6" fontId="13" fillId="0" borderId="1" xfId="2" applyNumberFormat="1" applyFont="1" applyBorder="1"/>
    <xf numFmtId="165" fontId="13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6" fontId="7" fillId="0" borderId="1" xfId="0" applyNumberFormat="1" applyFont="1" applyBorder="1" applyAlignment="1">
      <alignment horizontal="center" vertical="center"/>
    </xf>
  </cellXfs>
  <cellStyles count="6">
    <cellStyle name="Comma" xfId="1" builtinId="3"/>
    <cellStyle name="Currency" xfId="2" builtinId="4"/>
    <cellStyle name="Followed Hyperlink" xfId="5" builtinId="9" customBuiltin="1"/>
    <cellStyle name="Hyperlink" xfId="4" builtinId="8" customBuiltin="1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163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3236-E07C-2A44-86D5-B668E2B74D8F}">
  <dimension ref="A1:H184"/>
  <sheetViews>
    <sheetView showGridLines="0" zoomScale="130" zoomScaleNormal="130" workbookViewId="0">
      <selection activeCell="D7" sqref="D7"/>
    </sheetView>
  </sheetViews>
  <sheetFormatPr baseColWidth="10" defaultRowHeight="13" x14ac:dyDescent="0.15"/>
  <cols>
    <col min="1" max="1" width="60" style="5" customWidth="1"/>
    <col min="2" max="2" width="17" style="5" bestFit="1" customWidth="1"/>
    <col min="3" max="3" width="30.83203125" style="5" bestFit="1" customWidth="1"/>
    <col min="4" max="4" width="16.6640625" style="5" bestFit="1" customWidth="1"/>
    <col min="5" max="6" width="10.83203125" style="5"/>
    <col min="7" max="7" width="10.83203125" style="5" customWidth="1"/>
    <col min="8" max="16384" width="10.83203125" style="5"/>
  </cols>
  <sheetData>
    <row r="1" spans="1:8" x14ac:dyDescent="0.15">
      <c r="A1" s="31" t="s">
        <v>0</v>
      </c>
      <c r="B1" s="3"/>
      <c r="C1" s="4" t="s">
        <v>4</v>
      </c>
    </row>
    <row r="2" spans="1:8" x14ac:dyDescent="0.15">
      <c r="A2" s="4" t="s">
        <v>1</v>
      </c>
      <c r="B2" s="33">
        <v>76.760000000000005</v>
      </c>
      <c r="C2" s="7" t="str">
        <f>HYPERLINK("https://www.sec.gov/ix?doc=/Archives/edgar/data/0001528129/000152812925000045/vtle-20241231.htm", "10-K SEC")</f>
        <v>10-K SEC</v>
      </c>
    </row>
    <row r="3" spans="1:8" x14ac:dyDescent="0.15">
      <c r="A3" s="3" t="s">
        <v>2</v>
      </c>
      <c r="B3" s="33">
        <v>13.66</v>
      </c>
      <c r="C3" s="7" t="str">
        <f t="shared" ref="C3:C4" si="0">HYPERLINK("https://www.sec.gov/ix?doc=/Archives/edgar/data/0001528129/000152812925000045/vtle-20241231.htm", "10-K SEC")</f>
        <v>10-K SEC</v>
      </c>
    </row>
    <row r="4" spans="1:8" x14ac:dyDescent="0.15">
      <c r="A4" s="3" t="s">
        <v>3</v>
      </c>
      <c r="B4" s="33">
        <v>0.85</v>
      </c>
      <c r="C4" s="7" t="str">
        <f t="shared" si="0"/>
        <v>10-K SEC</v>
      </c>
    </row>
    <row r="5" spans="1:8" x14ac:dyDescent="0.15">
      <c r="A5" s="3"/>
      <c r="B5" s="34"/>
      <c r="C5" s="7"/>
      <c r="E5" s="38" t="s">
        <v>36</v>
      </c>
      <c r="F5" s="38"/>
      <c r="G5" s="38"/>
      <c r="H5" s="38"/>
    </row>
    <row r="6" spans="1:8" ht="14" x14ac:dyDescent="0.2">
      <c r="A6" s="3"/>
      <c r="B6" s="34"/>
      <c r="C6" s="8"/>
      <c r="E6" s="39" t="s">
        <v>35</v>
      </c>
      <c r="F6" s="39"/>
      <c r="G6" s="39"/>
      <c r="H6" s="39"/>
    </row>
    <row r="7" spans="1:8" ht="14" x14ac:dyDescent="0.2">
      <c r="A7" s="31" t="s">
        <v>5</v>
      </c>
      <c r="B7" s="34"/>
      <c r="C7" s="8"/>
      <c r="E7" s="6">
        <f>'Annual Summary'!H18</f>
        <v>3140.9468376280029</v>
      </c>
      <c r="F7" s="29">
        <v>0.75</v>
      </c>
      <c r="G7" s="29">
        <v>1</v>
      </c>
      <c r="H7" s="29">
        <v>1.25</v>
      </c>
    </row>
    <row r="8" spans="1:8" ht="14" x14ac:dyDescent="0.15">
      <c r="A8" s="3" t="s">
        <v>6</v>
      </c>
      <c r="B8" s="35">
        <v>0.46</v>
      </c>
      <c r="C8" s="7" t="str">
        <f>HYPERLINK("https://www.sec.gov/ix?doc=/Archives/edgar/data/0001528129/000152812925000045/vtle-20241231.htm", "10-K SEC")</f>
        <v>10-K SEC</v>
      </c>
      <c r="E8" s="30">
        <v>55</v>
      </c>
      <c r="F8" s="40">
        <f t="dataTable" ref="F8:H12" dt2D="1" dtr="1" r1="B31" r2="B2"/>
        <v>86.470296961573808</v>
      </c>
      <c r="G8" s="40">
        <v>-265.53605668090319</v>
      </c>
      <c r="H8" s="40">
        <v>-584.70427754079969</v>
      </c>
    </row>
    <row r="9" spans="1:8" ht="14" x14ac:dyDescent="0.15">
      <c r="A9" s="3" t="s">
        <v>7</v>
      </c>
      <c r="B9" s="35">
        <v>0.27</v>
      </c>
      <c r="C9" s="7" t="str">
        <f t="shared" ref="C9:C10" si="1">HYPERLINK("https://www.sec.gov/ix?doc=/Archives/edgar/data/0001528129/000152812925000045/vtle-20241231.htm", "10-K SEC")</f>
        <v>10-K SEC</v>
      </c>
      <c r="E9" s="30">
        <v>65</v>
      </c>
      <c r="F9" s="40">
        <v>1754.5935427573766</v>
      </c>
      <c r="G9" s="40">
        <v>1299.9432146007639</v>
      </c>
      <c r="H9" s="40">
        <v>887.70651816175973</v>
      </c>
    </row>
    <row r="10" spans="1:8" ht="14" x14ac:dyDescent="0.15">
      <c r="A10" s="3" t="s">
        <v>8</v>
      </c>
      <c r="B10" s="35">
        <v>0.27</v>
      </c>
      <c r="C10" s="7" t="str">
        <f t="shared" si="1"/>
        <v>10-K SEC</v>
      </c>
      <c r="E10" s="30">
        <v>76.760000000000005</v>
      </c>
      <c r="F10" s="40">
        <v>3716.3064798132395</v>
      </c>
      <c r="G10" s="40">
        <v>3140.9468376280029</v>
      </c>
      <c r="H10" s="40">
        <v>2619.2616139079696</v>
      </c>
    </row>
    <row r="11" spans="1:8" ht="14" x14ac:dyDescent="0.15">
      <c r="A11" s="3"/>
      <c r="B11" s="34"/>
      <c r="C11" s="7"/>
      <c r="E11" s="30">
        <v>85</v>
      </c>
      <c r="F11" s="40">
        <v>5090.8400343489775</v>
      </c>
      <c r="G11" s="40">
        <v>4430.9017571640961</v>
      </c>
      <c r="H11" s="40">
        <v>3832.5281095668779</v>
      </c>
    </row>
    <row r="12" spans="1:8" ht="14" x14ac:dyDescent="0.15">
      <c r="A12" s="3"/>
      <c r="B12" s="34"/>
      <c r="C12" s="8"/>
      <c r="E12" s="30">
        <v>95</v>
      </c>
      <c r="F12" s="40">
        <v>6758.9632801447797</v>
      </c>
      <c r="G12" s="40">
        <v>5996.3810284457604</v>
      </c>
      <c r="H12" s="40">
        <v>5304.9389052694369</v>
      </c>
    </row>
    <row r="13" spans="1:8" x14ac:dyDescent="0.15">
      <c r="A13" s="31" t="s">
        <v>9</v>
      </c>
      <c r="B13" s="34"/>
      <c r="C13" s="8"/>
    </row>
    <row r="14" spans="1:8" x14ac:dyDescent="0.15">
      <c r="A14" s="3" t="s">
        <v>10</v>
      </c>
      <c r="B14" s="33">
        <v>9.15</v>
      </c>
      <c r="C14" s="7" t="str">
        <f>HYPERLINK("https://www.sec.gov/ix?doc=/Archives/edgar/data/0001528129/000152812925000045/vtle-20241231.htm", "10-K SEC")</f>
        <v>10-K SEC</v>
      </c>
    </row>
    <row r="15" spans="1:8" x14ac:dyDescent="0.15">
      <c r="A15" s="3" t="s">
        <v>11</v>
      </c>
      <c r="B15" s="33">
        <v>2.41</v>
      </c>
      <c r="C15" s="7" t="str">
        <f t="shared" ref="C15:C16" si="2">HYPERLINK("https://www.sec.gov/ix?doc=/Archives/edgar/data/0001528129/000152812925000045/vtle-20241231.htm", "10-K SEC")</f>
        <v>10-K SEC</v>
      </c>
    </row>
    <row r="16" spans="1:8" x14ac:dyDescent="0.15">
      <c r="A16" s="3" t="s">
        <v>12</v>
      </c>
      <c r="B16" s="33">
        <v>0.92</v>
      </c>
      <c r="C16" s="7" t="str">
        <f t="shared" si="2"/>
        <v>10-K SEC</v>
      </c>
    </row>
    <row r="17" spans="1:3" x14ac:dyDescent="0.15">
      <c r="A17" s="3" t="s">
        <v>13</v>
      </c>
      <c r="B17" s="33">
        <v>0.36</v>
      </c>
      <c r="C17" s="7" t="str">
        <f>HYPERLINK("https://www.sec.gov/ix?doc=/Archives/edgar/data/0001528129/000152812925000045/vtle-20241231.htm", "10-K SEC")</f>
        <v>10-K SEC</v>
      </c>
    </row>
    <row r="18" spans="1:3" x14ac:dyDescent="0.15">
      <c r="A18" s="3" t="s">
        <v>14</v>
      </c>
      <c r="B18" s="33">
        <v>1.75</v>
      </c>
      <c r="C18" s="7" t="str">
        <f t="shared" ref="C18" si="3">HYPERLINK("https://www.sec.gov/ix?doc=/Archives/edgar/data/0001528129/000152812925000045/vtle-20241231.htm", "10-K SEC")</f>
        <v>10-K SEC</v>
      </c>
    </row>
    <row r="19" spans="1:3" x14ac:dyDescent="0.15">
      <c r="A19" s="3"/>
      <c r="B19" s="34"/>
      <c r="C19" s="7"/>
    </row>
    <row r="20" spans="1:3" x14ac:dyDescent="0.15">
      <c r="A20" s="3"/>
      <c r="B20" s="34"/>
      <c r="C20" s="7"/>
    </row>
    <row r="21" spans="1:3" x14ac:dyDescent="0.15">
      <c r="A21" s="31" t="s">
        <v>15</v>
      </c>
      <c r="B21" s="34"/>
      <c r="C21" s="8"/>
    </row>
    <row r="22" spans="1:3" x14ac:dyDescent="0.15">
      <c r="A22" s="3" t="s">
        <v>16</v>
      </c>
      <c r="B22" s="34">
        <v>1.53</v>
      </c>
      <c r="C22" s="8" t="s">
        <v>19</v>
      </c>
    </row>
    <row r="23" spans="1:3" x14ac:dyDescent="0.15">
      <c r="A23" s="3" t="s">
        <v>17</v>
      </c>
      <c r="B23" s="36">
        <v>47600000</v>
      </c>
      <c r="C23" s="8" t="s">
        <v>20</v>
      </c>
    </row>
    <row r="24" spans="1:3" x14ac:dyDescent="0.15">
      <c r="A24" s="3" t="s">
        <v>18</v>
      </c>
      <c r="B24" s="34">
        <v>120</v>
      </c>
      <c r="C24" s="8" t="s">
        <v>21</v>
      </c>
    </row>
    <row r="25" spans="1:3" x14ac:dyDescent="0.15">
      <c r="A25" s="3"/>
      <c r="B25" s="34"/>
      <c r="C25" s="8"/>
    </row>
    <row r="26" spans="1:3" x14ac:dyDescent="0.15">
      <c r="A26" s="3"/>
      <c r="B26" s="34"/>
      <c r="C26" s="8"/>
    </row>
    <row r="27" spans="1:3" x14ac:dyDescent="0.15">
      <c r="A27" s="31" t="s">
        <v>22</v>
      </c>
      <c r="B27" s="34"/>
      <c r="C27" s="8"/>
    </row>
    <row r="28" spans="1:3" x14ac:dyDescent="0.15">
      <c r="A28" s="3" t="s">
        <v>23</v>
      </c>
      <c r="B28" s="35">
        <v>0.1</v>
      </c>
      <c r="C28" s="8" t="s">
        <v>24</v>
      </c>
    </row>
    <row r="29" spans="1:3" x14ac:dyDescent="0.15">
      <c r="A29" s="3"/>
      <c r="B29" s="34"/>
      <c r="C29" s="8"/>
    </row>
    <row r="30" spans="1:3" x14ac:dyDescent="0.15">
      <c r="A30" s="3"/>
      <c r="B30" s="34"/>
      <c r="C30" s="8"/>
    </row>
    <row r="31" spans="1:3" x14ac:dyDescent="0.15">
      <c r="A31" s="3" t="s">
        <v>33</v>
      </c>
      <c r="B31" s="37">
        <v>1</v>
      </c>
      <c r="C31" s="8" t="s">
        <v>34</v>
      </c>
    </row>
    <row r="32" spans="1:3" x14ac:dyDescent="0.15">
      <c r="A32" s="1"/>
      <c r="B32" s="1"/>
    </row>
    <row r="33" spans="1:2" x14ac:dyDescent="0.15">
      <c r="A33" s="1"/>
      <c r="B33" s="1"/>
    </row>
    <row r="34" spans="1:2" x14ac:dyDescent="0.15">
      <c r="A34" s="1"/>
      <c r="B34" s="1"/>
    </row>
    <row r="35" spans="1:2" x14ac:dyDescent="0.15">
      <c r="A35" s="1"/>
      <c r="B35" s="1"/>
    </row>
    <row r="36" spans="1:2" x14ac:dyDescent="0.15">
      <c r="A36" s="1"/>
      <c r="B36" s="1"/>
    </row>
    <row r="37" spans="1:2" x14ac:dyDescent="0.15">
      <c r="A37" s="1"/>
      <c r="B37" s="1"/>
    </row>
    <row r="38" spans="1:2" x14ac:dyDescent="0.15">
      <c r="A38" s="1"/>
      <c r="B38" s="1"/>
    </row>
    <row r="39" spans="1:2" x14ac:dyDescent="0.15">
      <c r="A39" s="1"/>
      <c r="B39" s="1"/>
    </row>
    <row r="40" spans="1:2" x14ac:dyDescent="0.15">
      <c r="A40" s="1"/>
      <c r="B40" s="1"/>
    </row>
    <row r="41" spans="1:2" x14ac:dyDescent="0.15">
      <c r="A41" s="1"/>
      <c r="B41" s="1"/>
    </row>
    <row r="42" spans="1:2" x14ac:dyDescent="0.15">
      <c r="A42" s="1"/>
      <c r="B42" s="1"/>
    </row>
    <row r="43" spans="1:2" x14ac:dyDescent="0.15">
      <c r="A43" s="1"/>
      <c r="B43" s="1"/>
    </row>
    <row r="44" spans="1:2" x14ac:dyDescent="0.15">
      <c r="A44" s="1"/>
      <c r="B44" s="1"/>
    </row>
    <row r="45" spans="1:2" x14ac:dyDescent="0.15">
      <c r="A45" s="1"/>
      <c r="B45" s="1"/>
    </row>
    <row r="46" spans="1:2" x14ac:dyDescent="0.15">
      <c r="A46" s="1"/>
      <c r="B46" s="1"/>
    </row>
    <row r="47" spans="1:2" x14ac:dyDescent="0.15">
      <c r="A47" s="1"/>
      <c r="B47" s="1"/>
    </row>
    <row r="48" spans="1:2" x14ac:dyDescent="0.15">
      <c r="A48" s="1"/>
      <c r="B48" s="1"/>
    </row>
    <row r="49" spans="1:2" x14ac:dyDescent="0.15">
      <c r="A49" s="1"/>
      <c r="B49" s="1"/>
    </row>
    <row r="50" spans="1:2" x14ac:dyDescent="0.15">
      <c r="A50" s="1"/>
      <c r="B50" s="1"/>
    </row>
    <row r="51" spans="1:2" x14ac:dyDescent="0.15">
      <c r="A51" s="1"/>
      <c r="B51" s="1"/>
    </row>
    <row r="52" spans="1:2" x14ac:dyDescent="0.15">
      <c r="A52" s="1"/>
      <c r="B52" s="1"/>
    </row>
    <row r="53" spans="1:2" x14ac:dyDescent="0.15">
      <c r="A53" s="1"/>
      <c r="B53" s="1"/>
    </row>
    <row r="54" spans="1:2" x14ac:dyDescent="0.15">
      <c r="A54" s="1"/>
      <c r="B54" s="1"/>
    </row>
    <row r="55" spans="1:2" x14ac:dyDescent="0.15">
      <c r="A55" s="1"/>
      <c r="B55" s="1"/>
    </row>
    <row r="56" spans="1:2" x14ac:dyDescent="0.15">
      <c r="A56" s="1"/>
      <c r="B56" s="1"/>
    </row>
    <row r="57" spans="1:2" x14ac:dyDescent="0.15">
      <c r="A57" s="1"/>
      <c r="B57" s="1"/>
    </row>
    <row r="58" spans="1:2" x14ac:dyDescent="0.15">
      <c r="A58" s="1"/>
      <c r="B58" s="1"/>
    </row>
    <row r="59" spans="1:2" x14ac:dyDescent="0.15">
      <c r="A59" s="1"/>
      <c r="B59" s="1"/>
    </row>
    <row r="60" spans="1:2" x14ac:dyDescent="0.15">
      <c r="A60" s="1"/>
      <c r="B60" s="1"/>
    </row>
    <row r="61" spans="1:2" x14ac:dyDescent="0.15">
      <c r="A61" s="1"/>
      <c r="B61" s="1"/>
    </row>
    <row r="62" spans="1:2" x14ac:dyDescent="0.15">
      <c r="A62" s="1"/>
      <c r="B62" s="1"/>
    </row>
    <row r="63" spans="1:2" x14ac:dyDescent="0.15">
      <c r="A63" s="1"/>
      <c r="B63" s="1"/>
    </row>
    <row r="64" spans="1:2" x14ac:dyDescent="0.15">
      <c r="A64" s="1"/>
      <c r="B64" s="1"/>
    </row>
    <row r="65" spans="1:2" x14ac:dyDescent="0.15">
      <c r="A65" s="1"/>
      <c r="B65" s="1"/>
    </row>
    <row r="66" spans="1:2" x14ac:dyDescent="0.15">
      <c r="A66" s="1"/>
      <c r="B66" s="1"/>
    </row>
    <row r="67" spans="1:2" x14ac:dyDescent="0.15">
      <c r="A67" s="1"/>
      <c r="B67" s="1"/>
    </row>
    <row r="68" spans="1:2" x14ac:dyDescent="0.15">
      <c r="A68" s="1"/>
      <c r="B68" s="1"/>
    </row>
    <row r="69" spans="1:2" x14ac:dyDescent="0.15">
      <c r="A69" s="1"/>
      <c r="B69" s="1"/>
    </row>
    <row r="70" spans="1:2" x14ac:dyDescent="0.15">
      <c r="A70" s="1"/>
      <c r="B70" s="1"/>
    </row>
    <row r="71" spans="1:2" x14ac:dyDescent="0.15">
      <c r="A71" s="1"/>
      <c r="B71" s="1"/>
    </row>
    <row r="72" spans="1:2" x14ac:dyDescent="0.15">
      <c r="A72" s="1"/>
      <c r="B72" s="1"/>
    </row>
    <row r="73" spans="1:2" x14ac:dyDescent="0.15">
      <c r="A73" s="1"/>
      <c r="B73" s="1"/>
    </row>
    <row r="74" spans="1:2" x14ac:dyDescent="0.15">
      <c r="A74" s="1"/>
      <c r="B74" s="1"/>
    </row>
    <row r="75" spans="1:2" x14ac:dyDescent="0.15">
      <c r="A75" s="1"/>
      <c r="B75" s="1"/>
    </row>
    <row r="76" spans="1:2" x14ac:dyDescent="0.15">
      <c r="A76" s="1"/>
      <c r="B76" s="1"/>
    </row>
    <row r="77" spans="1:2" x14ac:dyDescent="0.15">
      <c r="A77" s="1"/>
      <c r="B77" s="1"/>
    </row>
    <row r="78" spans="1:2" x14ac:dyDescent="0.15">
      <c r="A78" s="1"/>
      <c r="B78" s="1"/>
    </row>
    <row r="79" spans="1:2" x14ac:dyDescent="0.15">
      <c r="A79" s="1"/>
      <c r="B79" s="1"/>
    </row>
    <row r="80" spans="1:2" x14ac:dyDescent="0.15">
      <c r="A80" s="1"/>
      <c r="B80" s="1"/>
    </row>
    <row r="81" spans="1:2" x14ac:dyDescent="0.15">
      <c r="A81" s="1"/>
      <c r="B81" s="1"/>
    </row>
    <row r="82" spans="1:2" x14ac:dyDescent="0.15">
      <c r="A82" s="1"/>
      <c r="B82" s="1"/>
    </row>
    <row r="83" spans="1:2" x14ac:dyDescent="0.15">
      <c r="A83" s="1"/>
      <c r="B83" s="1"/>
    </row>
    <row r="84" spans="1:2" x14ac:dyDescent="0.15">
      <c r="A84" s="1"/>
      <c r="B84" s="1"/>
    </row>
    <row r="85" spans="1:2" x14ac:dyDescent="0.15">
      <c r="A85" s="1"/>
      <c r="B85" s="1"/>
    </row>
    <row r="86" spans="1:2" x14ac:dyDescent="0.15">
      <c r="A86" s="1"/>
      <c r="B86" s="1"/>
    </row>
    <row r="87" spans="1:2" x14ac:dyDescent="0.15">
      <c r="A87" s="1"/>
      <c r="B87" s="1"/>
    </row>
    <row r="88" spans="1:2" x14ac:dyDescent="0.15">
      <c r="A88" s="1"/>
      <c r="B88" s="1"/>
    </row>
    <row r="89" spans="1:2" x14ac:dyDescent="0.15">
      <c r="A89" s="1"/>
      <c r="B89" s="1"/>
    </row>
    <row r="90" spans="1:2" x14ac:dyDescent="0.15">
      <c r="A90" s="1"/>
      <c r="B90" s="1"/>
    </row>
    <row r="91" spans="1:2" x14ac:dyDescent="0.15">
      <c r="A91" s="1"/>
      <c r="B91" s="1"/>
    </row>
    <row r="92" spans="1:2" x14ac:dyDescent="0.15">
      <c r="A92" s="1"/>
      <c r="B92" s="1"/>
    </row>
    <row r="93" spans="1:2" x14ac:dyDescent="0.15">
      <c r="A93" s="1"/>
      <c r="B93" s="1"/>
    </row>
    <row r="94" spans="1:2" x14ac:dyDescent="0.15">
      <c r="A94" s="1"/>
      <c r="B94" s="1"/>
    </row>
    <row r="95" spans="1:2" x14ac:dyDescent="0.15">
      <c r="A95" s="1"/>
      <c r="B95" s="1"/>
    </row>
    <row r="96" spans="1:2" x14ac:dyDescent="0.15">
      <c r="A96" s="1"/>
      <c r="B96" s="1"/>
    </row>
    <row r="97" spans="1:2" x14ac:dyDescent="0.15">
      <c r="A97" s="1"/>
      <c r="B97" s="1"/>
    </row>
    <row r="98" spans="1:2" x14ac:dyDescent="0.15">
      <c r="A98" s="1"/>
      <c r="B98" s="1"/>
    </row>
    <row r="99" spans="1:2" x14ac:dyDescent="0.15">
      <c r="A99" s="1"/>
      <c r="B99" s="1"/>
    </row>
    <row r="100" spans="1:2" x14ac:dyDescent="0.15">
      <c r="A100" s="1"/>
      <c r="B100" s="1"/>
    </row>
    <row r="101" spans="1:2" x14ac:dyDescent="0.15">
      <c r="A101" s="1"/>
      <c r="B101" s="1"/>
    </row>
    <row r="102" spans="1:2" x14ac:dyDescent="0.15">
      <c r="A102" s="1"/>
      <c r="B102" s="1"/>
    </row>
    <row r="103" spans="1:2" x14ac:dyDescent="0.15">
      <c r="A103" s="1"/>
      <c r="B103" s="1"/>
    </row>
    <row r="104" spans="1:2" x14ac:dyDescent="0.15">
      <c r="A104" s="1"/>
      <c r="B104" s="1"/>
    </row>
    <row r="105" spans="1:2" x14ac:dyDescent="0.15">
      <c r="A105" s="1"/>
      <c r="B105" s="1"/>
    </row>
    <row r="106" spans="1:2" x14ac:dyDescent="0.15">
      <c r="A106" s="1"/>
      <c r="B106" s="1"/>
    </row>
    <row r="107" spans="1:2" x14ac:dyDescent="0.15">
      <c r="A107" s="1"/>
      <c r="B107" s="1"/>
    </row>
    <row r="108" spans="1:2" x14ac:dyDescent="0.15">
      <c r="A108" s="1"/>
      <c r="B108" s="1"/>
    </row>
    <row r="109" spans="1:2" x14ac:dyDescent="0.15">
      <c r="A109" s="1"/>
      <c r="B109" s="1"/>
    </row>
    <row r="110" spans="1:2" x14ac:dyDescent="0.15">
      <c r="A110" s="1"/>
      <c r="B110" s="1"/>
    </row>
    <row r="111" spans="1:2" x14ac:dyDescent="0.15">
      <c r="A111" s="1"/>
      <c r="B111" s="1"/>
    </row>
    <row r="112" spans="1:2" x14ac:dyDescent="0.15">
      <c r="A112" s="1"/>
      <c r="B112" s="1"/>
    </row>
    <row r="113" spans="1:2" x14ac:dyDescent="0.15">
      <c r="A113" s="1"/>
      <c r="B113" s="1"/>
    </row>
    <row r="114" spans="1:2" x14ac:dyDescent="0.15">
      <c r="A114" s="1"/>
      <c r="B114" s="1"/>
    </row>
    <row r="115" spans="1:2" x14ac:dyDescent="0.15">
      <c r="A115" s="1"/>
      <c r="B115" s="1"/>
    </row>
    <row r="116" spans="1:2" x14ac:dyDescent="0.15">
      <c r="A116" s="1"/>
      <c r="B116" s="1"/>
    </row>
    <row r="117" spans="1:2" x14ac:dyDescent="0.15">
      <c r="A117" s="1"/>
      <c r="B117" s="1"/>
    </row>
    <row r="118" spans="1:2" x14ac:dyDescent="0.15">
      <c r="A118" s="1"/>
      <c r="B118" s="1"/>
    </row>
    <row r="119" spans="1:2" x14ac:dyDescent="0.15">
      <c r="A119" s="1"/>
      <c r="B119" s="1"/>
    </row>
    <row r="120" spans="1:2" x14ac:dyDescent="0.15">
      <c r="A120" s="1"/>
      <c r="B120" s="1"/>
    </row>
    <row r="121" spans="1:2" x14ac:dyDescent="0.15">
      <c r="A121" s="1"/>
      <c r="B121" s="1"/>
    </row>
    <row r="122" spans="1:2" x14ac:dyDescent="0.15">
      <c r="A122" s="1"/>
      <c r="B122" s="1"/>
    </row>
    <row r="123" spans="1:2" x14ac:dyDescent="0.15">
      <c r="A123" s="1"/>
      <c r="B123" s="1"/>
    </row>
    <row r="124" spans="1:2" x14ac:dyDescent="0.15">
      <c r="A124" s="1"/>
      <c r="B124" s="1"/>
    </row>
    <row r="125" spans="1:2" x14ac:dyDescent="0.15">
      <c r="A125" s="1"/>
      <c r="B125" s="1"/>
    </row>
    <row r="126" spans="1:2" x14ac:dyDescent="0.15">
      <c r="A126" s="1"/>
      <c r="B126" s="1"/>
    </row>
    <row r="127" spans="1:2" x14ac:dyDescent="0.15">
      <c r="A127" s="1"/>
      <c r="B127" s="1"/>
    </row>
    <row r="128" spans="1:2" x14ac:dyDescent="0.15">
      <c r="A128" s="1"/>
      <c r="B128" s="1"/>
    </row>
    <row r="129" spans="1:2" x14ac:dyDescent="0.15">
      <c r="A129" s="1"/>
      <c r="B129" s="1"/>
    </row>
    <row r="130" spans="1:2" x14ac:dyDescent="0.15">
      <c r="A130" s="1"/>
      <c r="B130" s="1"/>
    </row>
    <row r="131" spans="1:2" x14ac:dyDescent="0.15">
      <c r="A131" s="1"/>
      <c r="B131" s="1"/>
    </row>
    <row r="132" spans="1:2" x14ac:dyDescent="0.15">
      <c r="A132" s="1"/>
      <c r="B132" s="1"/>
    </row>
    <row r="133" spans="1:2" x14ac:dyDescent="0.15">
      <c r="A133" s="1"/>
      <c r="B133" s="1"/>
    </row>
    <row r="134" spans="1:2" x14ac:dyDescent="0.15">
      <c r="A134" s="1"/>
      <c r="B134" s="1"/>
    </row>
    <row r="135" spans="1:2" x14ac:dyDescent="0.15">
      <c r="A135" s="1"/>
      <c r="B135" s="1"/>
    </row>
    <row r="136" spans="1:2" x14ac:dyDescent="0.15">
      <c r="A136" s="1"/>
      <c r="B136" s="1"/>
    </row>
    <row r="137" spans="1:2" x14ac:dyDescent="0.15">
      <c r="A137" s="1"/>
      <c r="B137" s="1"/>
    </row>
    <row r="138" spans="1:2" x14ac:dyDescent="0.15">
      <c r="A138" s="1"/>
      <c r="B138" s="1"/>
    </row>
    <row r="139" spans="1:2" x14ac:dyDescent="0.15">
      <c r="A139" s="1"/>
      <c r="B139" s="1"/>
    </row>
    <row r="140" spans="1:2" x14ac:dyDescent="0.15">
      <c r="A140" s="1"/>
      <c r="B140" s="1"/>
    </row>
    <row r="141" spans="1:2" x14ac:dyDescent="0.15">
      <c r="A141" s="1"/>
      <c r="B141" s="1"/>
    </row>
    <row r="142" spans="1:2" x14ac:dyDescent="0.15">
      <c r="A142" s="1"/>
      <c r="B142" s="1"/>
    </row>
    <row r="143" spans="1:2" x14ac:dyDescent="0.15">
      <c r="A143" s="1"/>
      <c r="B143" s="1"/>
    </row>
    <row r="144" spans="1:2" x14ac:dyDescent="0.15">
      <c r="A144" s="1"/>
      <c r="B144" s="1"/>
    </row>
    <row r="145" spans="1:2" x14ac:dyDescent="0.15">
      <c r="A145" s="1"/>
      <c r="B145" s="1"/>
    </row>
    <row r="146" spans="1:2" x14ac:dyDescent="0.15">
      <c r="A146" s="1"/>
      <c r="B146" s="1"/>
    </row>
    <row r="147" spans="1:2" x14ac:dyDescent="0.15">
      <c r="A147" s="1"/>
      <c r="B147" s="1"/>
    </row>
    <row r="148" spans="1:2" x14ac:dyDescent="0.15">
      <c r="A148" s="1"/>
      <c r="B148" s="1"/>
    </row>
    <row r="149" spans="1:2" x14ac:dyDescent="0.15">
      <c r="A149" s="1"/>
      <c r="B149" s="1"/>
    </row>
    <row r="150" spans="1:2" x14ac:dyDescent="0.15">
      <c r="A150" s="1"/>
      <c r="B150" s="1"/>
    </row>
    <row r="151" spans="1:2" x14ac:dyDescent="0.15">
      <c r="A151" s="1"/>
      <c r="B151" s="1"/>
    </row>
    <row r="152" spans="1:2" x14ac:dyDescent="0.15">
      <c r="A152" s="1"/>
      <c r="B152" s="1"/>
    </row>
    <row r="153" spans="1:2" x14ac:dyDescent="0.15">
      <c r="A153" s="1"/>
      <c r="B153" s="1"/>
    </row>
    <row r="154" spans="1:2" x14ac:dyDescent="0.15">
      <c r="A154" s="1"/>
      <c r="B154" s="1"/>
    </row>
    <row r="155" spans="1:2" x14ac:dyDescent="0.15">
      <c r="A155" s="1"/>
      <c r="B155" s="1"/>
    </row>
    <row r="156" spans="1:2" x14ac:dyDescent="0.15">
      <c r="A156" s="1"/>
      <c r="B156" s="1"/>
    </row>
    <row r="157" spans="1:2" x14ac:dyDescent="0.15">
      <c r="A157" s="1"/>
      <c r="B157" s="1"/>
    </row>
    <row r="158" spans="1:2" x14ac:dyDescent="0.15">
      <c r="A158" s="1"/>
      <c r="B158" s="1"/>
    </row>
    <row r="159" spans="1:2" x14ac:dyDescent="0.15">
      <c r="A159" s="1"/>
      <c r="B159" s="1"/>
    </row>
    <row r="160" spans="1:2" x14ac:dyDescent="0.15">
      <c r="A160" s="1"/>
      <c r="B160" s="1"/>
    </row>
    <row r="161" spans="1:2" x14ac:dyDescent="0.15">
      <c r="A161" s="1"/>
      <c r="B161" s="1"/>
    </row>
    <row r="162" spans="1:2" x14ac:dyDescent="0.15">
      <c r="A162" s="1"/>
      <c r="B162" s="1"/>
    </row>
    <row r="163" spans="1:2" x14ac:dyDescent="0.15">
      <c r="A163" s="1"/>
      <c r="B163" s="1"/>
    </row>
    <row r="164" spans="1:2" x14ac:dyDescent="0.15">
      <c r="A164" s="1"/>
      <c r="B164" s="1"/>
    </row>
    <row r="165" spans="1:2" x14ac:dyDescent="0.15">
      <c r="A165" s="1"/>
      <c r="B165" s="1"/>
    </row>
    <row r="166" spans="1:2" x14ac:dyDescent="0.15">
      <c r="A166" s="1"/>
      <c r="B166" s="1"/>
    </row>
    <row r="167" spans="1:2" x14ac:dyDescent="0.15">
      <c r="A167" s="1"/>
      <c r="B167" s="1"/>
    </row>
    <row r="168" spans="1:2" x14ac:dyDescent="0.15">
      <c r="A168" s="1"/>
      <c r="B168" s="1"/>
    </row>
    <row r="169" spans="1:2" x14ac:dyDescent="0.15">
      <c r="A169" s="1"/>
      <c r="B169" s="1"/>
    </row>
    <row r="170" spans="1:2" x14ac:dyDescent="0.15">
      <c r="A170" s="1"/>
      <c r="B170" s="1"/>
    </row>
    <row r="171" spans="1:2" x14ac:dyDescent="0.15">
      <c r="A171" s="1"/>
      <c r="B171" s="1"/>
    </row>
    <row r="172" spans="1:2" x14ac:dyDescent="0.15">
      <c r="A172" s="1"/>
      <c r="B172" s="1"/>
    </row>
    <row r="173" spans="1:2" x14ac:dyDescent="0.15">
      <c r="A173" s="1"/>
      <c r="B173" s="1"/>
    </row>
    <row r="174" spans="1:2" x14ac:dyDescent="0.15">
      <c r="A174" s="1"/>
      <c r="B174" s="1"/>
    </row>
    <row r="175" spans="1:2" x14ac:dyDescent="0.15">
      <c r="A175" s="1"/>
      <c r="B175" s="1"/>
    </row>
    <row r="176" spans="1:2" x14ac:dyDescent="0.15">
      <c r="A176" s="1"/>
      <c r="B176" s="1"/>
    </row>
    <row r="177" spans="1:2" x14ac:dyDescent="0.15">
      <c r="A177" s="1"/>
      <c r="B177" s="1"/>
    </row>
    <row r="178" spans="1:2" x14ac:dyDescent="0.15">
      <c r="A178" s="1"/>
      <c r="B178" s="1"/>
    </row>
    <row r="179" spans="1:2" x14ac:dyDescent="0.15">
      <c r="A179" s="1"/>
      <c r="B179" s="1"/>
    </row>
    <row r="180" spans="1:2" x14ac:dyDescent="0.15">
      <c r="A180" s="1"/>
      <c r="B180" s="1"/>
    </row>
    <row r="181" spans="1:2" x14ac:dyDescent="0.15">
      <c r="A181" s="1"/>
      <c r="B181" s="1"/>
    </row>
    <row r="182" spans="1:2" x14ac:dyDescent="0.15">
      <c r="A182" s="1"/>
      <c r="B182" s="1"/>
    </row>
    <row r="183" spans="1:2" x14ac:dyDescent="0.15">
      <c r="A183" s="1"/>
      <c r="B183" s="1"/>
    </row>
    <row r="184" spans="1:2" x14ac:dyDescent="0.15">
      <c r="A184" s="1"/>
      <c r="B184" s="1"/>
    </row>
  </sheetData>
  <mergeCells count="2">
    <mergeCell ref="E5:H5"/>
    <mergeCell ref="E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3D14-C24E-9C4A-AC0C-B32627AB5C45}">
  <dimension ref="A1:J183"/>
  <sheetViews>
    <sheetView showGridLines="0" zoomScale="130" zoomScaleNormal="130" workbookViewId="0">
      <selection activeCell="G2" sqref="G2"/>
    </sheetView>
  </sheetViews>
  <sheetFormatPr baseColWidth="10" defaultRowHeight="13" x14ac:dyDescent="0.15"/>
  <cols>
    <col min="1" max="1" width="9.5" style="5" customWidth="1"/>
    <col min="2" max="2" width="14.1640625" style="5" bestFit="1" customWidth="1"/>
    <col min="3" max="3" width="17.1640625" style="5" bestFit="1" customWidth="1"/>
    <col min="4" max="4" width="14.1640625" style="5" bestFit="1" customWidth="1"/>
    <col min="5" max="5" width="18.33203125" style="5" bestFit="1" customWidth="1"/>
    <col min="6" max="6" width="17.33203125" style="5" bestFit="1" customWidth="1"/>
    <col min="7" max="7" width="17.33203125" style="5" customWidth="1"/>
    <col min="8" max="8" width="17.33203125" style="5" bestFit="1" customWidth="1"/>
    <col min="9" max="9" width="20" style="5" bestFit="1" customWidth="1"/>
    <col min="10" max="10" width="19" style="5" bestFit="1" customWidth="1"/>
    <col min="11" max="11" width="10.83203125" style="5"/>
    <col min="12" max="12" width="18.6640625" style="5" bestFit="1" customWidth="1"/>
    <col min="13" max="16384" width="10.83203125" style="5"/>
  </cols>
  <sheetData>
    <row r="1" spans="1:10" s="9" customFormat="1" x14ac:dyDescent="0.15">
      <c r="A1" s="28" t="s">
        <v>25</v>
      </c>
      <c r="B1" s="28" t="s">
        <v>42</v>
      </c>
      <c r="C1" s="28" t="s">
        <v>43</v>
      </c>
      <c r="D1" s="28" t="s">
        <v>44</v>
      </c>
      <c r="E1" s="28" t="s">
        <v>37</v>
      </c>
      <c r="F1" s="28" t="s">
        <v>38</v>
      </c>
      <c r="G1" s="28" t="s">
        <v>46</v>
      </c>
      <c r="H1" s="28" t="s">
        <v>39</v>
      </c>
      <c r="I1" s="28" t="s">
        <v>40</v>
      </c>
      <c r="J1" s="28" t="s">
        <v>41</v>
      </c>
    </row>
    <row r="2" spans="1:10" ht="14" x14ac:dyDescent="0.2">
      <c r="A2" s="10">
        <v>0</v>
      </c>
      <c r="B2" s="11">
        <v>143661.54</v>
      </c>
      <c r="C2" s="11">
        <f xml:space="preserve"> B2 * EXP(-(Assumptions!$B$31 - 1) * 0.00421 * A2)</f>
        <v>143661.54</v>
      </c>
      <c r="D2" s="12">
        <f>C2*30.4</f>
        <v>4367310.8159999996</v>
      </c>
      <c r="E2" s="13">
        <f>D2*(Assumptions!$B$2*Assumptions!$B$8 + Assumptions!$B$3*Assumptions!$B$9 + Assumptions!$B$4*6*Assumptions!$B$10)</f>
        <v>176329300.73383683</v>
      </c>
      <c r="F2" s="13">
        <f>D2*(Assumptions!$B$14+Assumptions!$B$15+Assumptions!$B$16+Assumptions!$B$17+Assumptions!$B$18)</f>
        <v>63719064.805439994</v>
      </c>
      <c r="G2" s="13">
        <f>E2-F2</f>
        <v>112610235.92839684</v>
      </c>
      <c r="H2" s="14">
        <f>IF(A2&lt;Assumptions!$B$24, Assumptions!$B$22*Assumptions!$B$23, 0)</f>
        <v>72828000</v>
      </c>
      <c r="I2" s="13">
        <f>E2-F2-H2</f>
        <v>39782235.928396836</v>
      </c>
      <c r="J2" s="13">
        <f>I2/(1+((1+Assumptions!$B$28)^(1/12)-1))^(A2+0.5)</f>
        <v>39624563.711628981</v>
      </c>
    </row>
    <row r="3" spans="1:10" ht="14" x14ac:dyDescent="0.2">
      <c r="A3" s="10">
        <v>1</v>
      </c>
      <c r="B3" s="11">
        <v>144650.16084180601</v>
      </c>
      <c r="C3" s="11">
        <f xml:space="preserve"> B3 * EXP(-(Assumptions!$B$31 - 1) * 0.00421 * A3)</f>
        <v>144650.16084180601</v>
      </c>
      <c r="D3" s="12">
        <f t="shared" ref="D3:D66" si="0">C3*30.4</f>
        <v>4397364.8895909023</v>
      </c>
      <c r="E3" s="13">
        <f>D3*(Assumptions!$B$2*Assumptions!$B$8 + Assumptions!$B$3*Assumptions!$B$9 + Assumptions!$B$4*6*Assumptions!$B$10)</f>
        <v>177542727.94425479</v>
      </c>
      <c r="F3" s="13">
        <f>D3*(Assumptions!$B$14+Assumptions!$B$15+Assumptions!$B$16+Assumptions!$B$17+Assumptions!$B$18)</f>
        <v>64157553.739131264</v>
      </c>
      <c r="G3" s="13">
        <f t="shared" ref="G3:G66" si="1">E3-F3</f>
        <v>113385174.20512351</v>
      </c>
      <c r="H3" s="14">
        <f>IF(A3&lt;Assumptions!$B$24, Assumptions!$B$22*Assumptions!$B$23, 0)</f>
        <v>72828000</v>
      </c>
      <c r="I3" s="13">
        <f t="shared" ref="I3:I66" si="2">E3-F3-H3</f>
        <v>40557174.205123514</v>
      </c>
      <c r="J3" s="13">
        <f>I3/(1+((1+Assumptions!$B$28)^(1/12)-1))^(A3+0.5)</f>
        <v>40076852.164461218</v>
      </c>
    </row>
    <row r="4" spans="1:10" ht="14" x14ac:dyDescent="0.2">
      <c r="A4" s="10">
        <v>2</v>
      </c>
      <c r="B4" s="11">
        <v>145023.49785440799</v>
      </c>
      <c r="C4" s="11">
        <f xml:space="preserve"> B4 * EXP(-(Assumptions!$B$31 - 1) * 0.00421 * A4)</f>
        <v>145023.49785440799</v>
      </c>
      <c r="D4" s="12">
        <f t="shared" si="0"/>
        <v>4408714.3347740024</v>
      </c>
      <c r="E4" s="13">
        <f>D4*(Assumptions!$B$2*Assumptions!$B$8 + Assumptions!$B$3*Assumptions!$B$9 + Assumptions!$B$4*6*Assumptions!$B$10)</f>
        <v>178000959.52363342</v>
      </c>
      <c r="F4" s="13">
        <f>D4*(Assumptions!$B$14+Assumptions!$B$15+Assumptions!$B$16+Assumptions!$B$17+Assumptions!$B$18)</f>
        <v>64323142.144352697</v>
      </c>
      <c r="G4" s="13">
        <f t="shared" si="1"/>
        <v>113677817.37928072</v>
      </c>
      <c r="H4" s="14">
        <f>IF(A4&lt;Assumptions!$B$24, Assumptions!$B$22*Assumptions!$B$23, 0)</f>
        <v>72828000</v>
      </c>
      <c r="I4" s="13">
        <f t="shared" si="2"/>
        <v>40849817.379280716</v>
      </c>
      <c r="J4" s="13">
        <f>I4/(1+((1+Assumptions!$B$28)^(1/12)-1))^(A4+0.5)</f>
        <v>40046691.598264791</v>
      </c>
    </row>
    <row r="5" spans="1:10" ht="14" x14ac:dyDescent="0.2">
      <c r="A5" s="10">
        <v>3</v>
      </c>
      <c r="B5" s="11">
        <v>145020.539786293</v>
      </c>
      <c r="C5" s="11">
        <f xml:space="preserve"> B5 * EXP(-(Assumptions!$B$31 - 1) * 0.00421 * A5)</f>
        <v>145020.539786293</v>
      </c>
      <c r="D5" s="12">
        <f t="shared" si="0"/>
        <v>4408624.4095033072</v>
      </c>
      <c r="E5" s="13">
        <f>D5*(Assumptions!$B$2*Assumptions!$B$8 + Assumptions!$B$3*Assumptions!$B$9 + Assumptions!$B$4*6*Assumptions!$B$10)</f>
        <v>177997328.80881417</v>
      </c>
      <c r="F5" s="13">
        <f>D5*(Assumptions!$B$14+Assumptions!$B$15+Assumptions!$B$16+Assumptions!$B$17+Assumptions!$B$18)</f>
        <v>64321830.134653248</v>
      </c>
      <c r="G5" s="13">
        <f t="shared" si="1"/>
        <v>113675498.67416093</v>
      </c>
      <c r="H5" s="14">
        <f>IF(A5&lt;Assumptions!$B$24, Assumptions!$B$22*Assumptions!$B$23, 0)</f>
        <v>72828000</v>
      </c>
      <c r="I5" s="13">
        <f t="shared" si="2"/>
        <v>40847498.674160928</v>
      </c>
      <c r="J5" s="13">
        <f>I5/(1+((1+Assumptions!$B$28)^(1/12)-1))^(A5+0.5)</f>
        <v>39727624.820703357</v>
      </c>
    </row>
    <row r="6" spans="1:10" ht="14" x14ac:dyDescent="0.2">
      <c r="A6" s="10">
        <v>4</v>
      </c>
      <c r="B6" s="11">
        <v>144775.12785244099</v>
      </c>
      <c r="C6" s="11">
        <f xml:space="preserve"> B6 * EXP(-(Assumptions!$B$31 - 1) * 0.00421 * A6)</f>
        <v>144775.12785244099</v>
      </c>
      <c r="D6" s="12">
        <f t="shared" si="0"/>
        <v>4401163.8867142061</v>
      </c>
      <c r="E6" s="13">
        <f>D6*(Assumptions!$B$2*Assumptions!$B$8 + Assumptions!$B$3*Assumptions!$B$9 + Assumptions!$B$4*6*Assumptions!$B$10)</f>
        <v>177696111.69330877</v>
      </c>
      <c r="F6" s="13">
        <f>D6*(Assumptions!$B$14+Assumptions!$B$15+Assumptions!$B$16+Assumptions!$B$17+Assumptions!$B$18)</f>
        <v>64212981.107160263</v>
      </c>
      <c r="G6" s="13">
        <f t="shared" si="1"/>
        <v>113483130.5861485</v>
      </c>
      <c r="H6" s="14">
        <f>IF(A6&lt;Assumptions!$B$24, Assumptions!$B$22*Assumptions!$B$23, 0)</f>
        <v>72828000</v>
      </c>
      <c r="I6" s="13">
        <f t="shared" si="2"/>
        <v>40655130.5861485</v>
      </c>
      <c r="J6" s="13">
        <f>I6/(1+((1+Assumptions!$B$28)^(1/12)-1))^(A6+0.5)</f>
        <v>39227723.316250972</v>
      </c>
    </row>
    <row r="7" spans="1:10" ht="14" x14ac:dyDescent="0.2">
      <c r="A7" s="10">
        <v>5</v>
      </c>
      <c r="B7" s="11">
        <v>144368.985791732</v>
      </c>
      <c r="C7" s="11">
        <f xml:space="preserve"> B7 * EXP(-(Assumptions!$B$31 - 1) * 0.00421 * A7)</f>
        <v>144368.985791732</v>
      </c>
      <c r="D7" s="12">
        <f t="shared" si="0"/>
        <v>4388817.168068653</v>
      </c>
      <c r="E7" s="13">
        <f>D7*(Assumptions!$B$2*Assumptions!$B$8 + Assumptions!$B$3*Assumptions!$B$9 + Assumptions!$B$4*6*Assumptions!$B$10)</f>
        <v>177197615.39733827</v>
      </c>
      <c r="F7" s="13">
        <f>D7*(Assumptions!$B$14+Assumptions!$B$15+Assumptions!$B$16+Assumptions!$B$17+Assumptions!$B$18)</f>
        <v>64032842.482121646</v>
      </c>
      <c r="G7" s="13">
        <f t="shared" si="1"/>
        <v>113164772.91521662</v>
      </c>
      <c r="H7" s="14">
        <f>IF(A7&lt;Assumptions!$B$24, Assumptions!$B$22*Assumptions!$B$23, 0)</f>
        <v>72828000</v>
      </c>
      <c r="I7" s="13">
        <f t="shared" si="2"/>
        <v>40336772.915216625</v>
      </c>
      <c r="J7" s="13">
        <f>I7/(1+((1+Assumptions!$B$28)^(1/12)-1))^(A7+0.5)</f>
        <v>38612640.608726814</v>
      </c>
    </row>
    <row r="8" spans="1:10" ht="14" x14ac:dyDescent="0.2">
      <c r="A8" s="10">
        <v>6</v>
      </c>
      <c r="B8" s="11">
        <v>143855.00427094399</v>
      </c>
      <c r="C8" s="11">
        <f xml:space="preserve"> B8 * EXP(-(Assumptions!$B$31 - 1) * 0.00421 * A8)</f>
        <v>143855.00427094399</v>
      </c>
      <c r="D8" s="12">
        <f t="shared" si="0"/>
        <v>4373192.1298366971</v>
      </c>
      <c r="E8" s="13">
        <f>D8*(Assumptions!$B$2*Assumptions!$B$8 + Assumptions!$B$3*Assumptions!$B$9 + Assumptions!$B$4*6*Assumptions!$B$10)</f>
        <v>176566757.60373071</v>
      </c>
      <c r="F8" s="13">
        <f>D8*(Assumptions!$B$14+Assumptions!$B$15+Assumptions!$B$16+Assumptions!$B$17+Assumptions!$B$18)</f>
        <v>63804873.174317412</v>
      </c>
      <c r="G8" s="13">
        <f t="shared" si="1"/>
        <v>112761884.42941329</v>
      </c>
      <c r="H8" s="14">
        <f>IF(A8&lt;Assumptions!$B$24, Assumptions!$B$22*Assumptions!$B$23, 0)</f>
        <v>72828000</v>
      </c>
      <c r="I8" s="13">
        <f t="shared" si="2"/>
        <v>39933884.429413289</v>
      </c>
      <c r="J8" s="13">
        <f>I8/(1+((1+Assumptions!$B$28)^(1/12)-1))^(A8+0.5)</f>
        <v>37924557.216531932</v>
      </c>
    </row>
    <row r="9" spans="1:10" ht="14" x14ac:dyDescent="0.2">
      <c r="A9" s="10">
        <v>7</v>
      </c>
      <c r="B9" s="11">
        <v>143268.85537395801</v>
      </c>
      <c r="C9" s="11">
        <f xml:space="preserve"> B9 * EXP(-(Assumptions!$B$31 - 1) * 0.00421 * A9)</f>
        <v>143268.85537395801</v>
      </c>
      <c r="D9" s="12">
        <f t="shared" si="0"/>
        <v>4355373.2033683229</v>
      </c>
      <c r="E9" s="13">
        <f>D9*(Assumptions!$B$2*Assumptions!$B$8 + Assumptions!$B$3*Assumptions!$B$9 + Assumptions!$B$4*6*Assumptions!$B$10)</f>
        <v>175847322.0113554</v>
      </c>
      <c r="F9" s="13">
        <f>D9*(Assumptions!$B$14+Assumptions!$B$15+Assumptions!$B$16+Assumptions!$B$17+Assumptions!$B$18)</f>
        <v>63544895.037143834</v>
      </c>
      <c r="G9" s="13">
        <f t="shared" si="1"/>
        <v>112302426.97421157</v>
      </c>
      <c r="H9" s="14">
        <f>IF(A9&lt;Assumptions!$B$24, Assumptions!$B$22*Assumptions!$B$23, 0)</f>
        <v>72828000</v>
      </c>
      <c r="I9" s="13">
        <f t="shared" si="2"/>
        <v>39474426.974211574</v>
      </c>
      <c r="J9" s="13">
        <f>I9/(1+((1+Assumptions!$B$28)^(1/12)-1))^(A9+0.5)</f>
        <v>37191646.569856867</v>
      </c>
    </row>
    <row r="10" spans="1:10" ht="14" x14ac:dyDescent="0.2">
      <c r="A10" s="10">
        <v>8</v>
      </c>
      <c r="B10" s="11">
        <v>142635.33451875899</v>
      </c>
      <c r="C10" s="11">
        <f xml:space="preserve"> B10 * EXP(-(Assumptions!$B$31 - 1) * 0.00421 * A10)</f>
        <v>142635.33451875899</v>
      </c>
      <c r="D10" s="12">
        <f t="shared" si="0"/>
        <v>4336114.1693702731</v>
      </c>
      <c r="E10" s="13">
        <f>D10*(Assumptions!$B$2*Assumptions!$B$8 + Assumptions!$B$3*Assumptions!$B$9 + Assumptions!$B$4*6*Assumptions!$B$10)</f>
        <v>175069742.36549094</v>
      </c>
      <c r="F10" s="13">
        <f>D10*(Assumptions!$B$14+Assumptions!$B$15+Assumptions!$B$16+Assumptions!$B$17+Assumptions!$B$18)</f>
        <v>63263905.731112286</v>
      </c>
      <c r="G10" s="13">
        <f t="shared" si="1"/>
        <v>111805836.63437866</v>
      </c>
      <c r="H10" s="14">
        <f>IF(A10&lt;Assumptions!$B$24, Assumptions!$B$22*Assumptions!$B$23, 0)</f>
        <v>72828000</v>
      </c>
      <c r="I10" s="13">
        <f t="shared" si="2"/>
        <v>38977836.634378657</v>
      </c>
      <c r="J10" s="13">
        <f>I10/(1+((1+Assumptions!$B$28)^(1/12)-1))^(A10+0.5)</f>
        <v>36433249.875187911</v>
      </c>
    </row>
    <row r="11" spans="1:10" ht="14" x14ac:dyDescent="0.2">
      <c r="A11" s="10">
        <v>9</v>
      </c>
      <c r="B11" s="11">
        <v>141972.06570146</v>
      </c>
      <c r="C11" s="11">
        <f xml:space="preserve"> B11 * EXP(-(Assumptions!$B$31 - 1) * 0.00421 * A11)</f>
        <v>141972.06570146</v>
      </c>
      <c r="D11" s="12">
        <f t="shared" si="0"/>
        <v>4315950.7973243836</v>
      </c>
      <c r="E11" s="13">
        <f>D11*(Assumptions!$B$2*Assumptions!$B$8 + Assumptions!$B$3*Assumptions!$B$9 + Assumptions!$B$4*6*Assumptions!$B$10)</f>
        <v>174255650.25181255</v>
      </c>
      <c r="F11" s="13">
        <f>D11*(Assumptions!$B$14+Assumptions!$B$15+Assumptions!$B$16+Assumptions!$B$17+Assumptions!$B$18)</f>
        <v>62969722.132962756</v>
      </c>
      <c r="G11" s="13">
        <f t="shared" si="1"/>
        <v>111285928.11884978</v>
      </c>
      <c r="H11" s="14">
        <f>IF(A11&lt;Assumptions!$B$24, Assumptions!$B$22*Assumptions!$B$23, 0)</f>
        <v>72828000</v>
      </c>
      <c r="I11" s="13">
        <f t="shared" si="2"/>
        <v>38457928.118849784</v>
      </c>
      <c r="J11" s="13">
        <f>I11/(1+((1+Assumptions!$B$28)^(1/12)-1))^(A11+0.5)</f>
        <v>35662901.517791592</v>
      </c>
    </row>
    <row r="12" spans="1:10" ht="14" x14ac:dyDescent="0.2">
      <c r="A12" s="10">
        <v>10</v>
      </c>
      <c r="B12" s="11">
        <v>141291.782946861</v>
      </c>
      <c r="C12" s="11">
        <f xml:space="preserve"> B12 * EXP(-(Assumptions!$B$31 - 1) * 0.00421 * A12)</f>
        <v>141291.782946861</v>
      </c>
      <c r="D12" s="12">
        <f t="shared" si="0"/>
        <v>4295270.2015845738</v>
      </c>
      <c r="E12" s="13">
        <f>D12*(Assumptions!$B$2*Assumptions!$B$8 + Assumptions!$B$3*Assumptions!$B$9 + Assumptions!$B$4*6*Assumptions!$B$10)</f>
        <v>173420675.33493689</v>
      </c>
      <c r="F12" s="13">
        <f>D12*(Assumptions!$B$14+Assumptions!$B$15+Assumptions!$B$16+Assumptions!$B$17+Assumptions!$B$18)</f>
        <v>62667992.24111893</v>
      </c>
      <c r="G12" s="13">
        <f t="shared" si="1"/>
        <v>110752683.09381795</v>
      </c>
      <c r="H12" s="14">
        <f>IF(A12&lt;Assumptions!$B$24, Assumptions!$B$22*Assumptions!$B$23, 0)</f>
        <v>72828000</v>
      </c>
      <c r="I12" s="13">
        <f t="shared" si="2"/>
        <v>37924683.093817949</v>
      </c>
      <c r="J12" s="13">
        <f>I12/(1+((1+Assumptions!$B$28)^(1/12)-1))^(A12+0.5)</f>
        <v>34890192.123831227</v>
      </c>
    </row>
    <row r="13" spans="1:10" ht="14" x14ac:dyDescent="0.2">
      <c r="A13" s="10">
        <v>11</v>
      </c>
      <c r="B13" s="11">
        <v>140603.79515325601</v>
      </c>
      <c r="C13" s="11">
        <f xml:space="preserve"> B13 * EXP(-(Assumptions!$B$31 - 1) * 0.00421 * A13)</f>
        <v>140603.79515325601</v>
      </c>
      <c r="D13" s="12">
        <f t="shared" si="0"/>
        <v>4274355.3726589829</v>
      </c>
      <c r="E13" s="13">
        <f>D13*(Assumptions!$B$2*Assumptions!$B$8 + Assumptions!$B$3*Assumptions!$B$9 + Assumptions!$B$4*6*Assumptions!$B$10)</f>
        <v>172576243.30003193</v>
      </c>
      <c r="F13" s="13">
        <f>D13*(Assumptions!$B$14+Assumptions!$B$15+Assumptions!$B$16+Assumptions!$B$17+Assumptions!$B$18)</f>
        <v>62362844.887094557</v>
      </c>
      <c r="G13" s="13">
        <f t="shared" si="1"/>
        <v>110213398.41293737</v>
      </c>
      <c r="H13" s="14">
        <f>IF(A13&lt;Assumptions!$B$24, Assumptions!$B$22*Assumptions!$B$23, 0)</f>
        <v>72828000</v>
      </c>
      <c r="I13" s="13">
        <f t="shared" si="2"/>
        <v>37385398.412937373</v>
      </c>
      <c r="J13" s="13">
        <f>I13/(1+((1+Assumptions!$B$28)^(1/12)-1))^(A13+0.5)</f>
        <v>34121964.225027665</v>
      </c>
    </row>
    <row r="14" spans="1:10" ht="14" x14ac:dyDescent="0.2">
      <c r="A14" s="10">
        <v>12</v>
      </c>
      <c r="B14" s="11">
        <v>139914.959262013</v>
      </c>
      <c r="C14" s="11">
        <f xml:space="preserve"> B14 * EXP(-(Assumptions!$B$31 - 1) * 0.00421 * A14)</f>
        <v>139914.959262013</v>
      </c>
      <c r="D14" s="12">
        <f t="shared" si="0"/>
        <v>4253414.7615651954</v>
      </c>
      <c r="E14" s="13">
        <f>D14*(Assumptions!$B$2*Assumptions!$B$8 + Assumptions!$B$3*Assumptions!$B$9 + Assumptions!$B$4*6*Assumptions!$B$10)</f>
        <v>171730770.31524247</v>
      </c>
      <c r="F14" s="13">
        <f>D14*(Assumptions!$B$14+Assumptions!$B$15+Assumptions!$B$16+Assumptions!$B$17+Assumptions!$B$18)</f>
        <v>62057321.371236198</v>
      </c>
      <c r="G14" s="13">
        <f t="shared" si="1"/>
        <v>109673448.94400626</v>
      </c>
      <c r="H14" s="14">
        <f>IF(A14&lt;Assumptions!$B$24, Assumptions!$B$22*Assumptions!$B$23, 0)</f>
        <v>72828000</v>
      </c>
      <c r="I14" s="13">
        <f t="shared" si="2"/>
        <v>36845448.944006264</v>
      </c>
      <c r="J14" s="13">
        <f>I14/(1+((1+Assumptions!$B$28)^(1/12)-1))^(A14+0.5)</f>
        <v>33363105.761191383</v>
      </c>
    </row>
    <row r="15" spans="1:10" ht="14" x14ac:dyDescent="0.2">
      <c r="A15" s="10">
        <v>13</v>
      </c>
      <c r="B15" s="11">
        <v>139230.34531260599</v>
      </c>
      <c r="C15" s="11">
        <f xml:space="preserve"> B15 * EXP(-(Assumptions!$B$31 - 1) * 0.00421 * A15)</f>
        <v>139230.34531260599</v>
      </c>
      <c r="D15" s="12">
        <f t="shared" si="0"/>
        <v>4232602.497503222</v>
      </c>
      <c r="E15" s="13">
        <f>D15*(Assumptions!$B$2*Assumptions!$B$8 + Assumptions!$B$3*Assumptions!$B$9 + Assumptions!$B$4*6*Assumptions!$B$10)</f>
        <v>170890479.3161931</v>
      </c>
      <c r="F15" s="13">
        <f>D15*(Assumptions!$B$14+Assumptions!$B$15+Assumptions!$B$16+Assumptions!$B$17+Assumptions!$B$18)</f>
        <v>61753670.438572004</v>
      </c>
      <c r="G15" s="13">
        <f t="shared" si="1"/>
        <v>109136808.8776211</v>
      </c>
      <c r="H15" s="14">
        <f>IF(A15&lt;Assumptions!$B$24, Assumptions!$B$22*Assumptions!$B$23, 0)</f>
        <v>72828000</v>
      </c>
      <c r="I15" s="13">
        <f t="shared" si="2"/>
        <v>36308808.877621099</v>
      </c>
      <c r="J15" s="13">
        <f>I15/(1+((1+Assumptions!$B$28)^(1/12)-1))^(A15+0.5)</f>
        <v>32617091.442239761</v>
      </c>
    </row>
    <row r="16" spans="1:10" ht="14" x14ac:dyDescent="0.2">
      <c r="A16" s="10">
        <v>14</v>
      </c>
      <c r="B16" s="11">
        <v>138553.70184254801</v>
      </c>
      <c r="C16" s="11">
        <f xml:space="preserve"> B16 * EXP(-(Assumptions!$B$31 - 1) * 0.00421 * A16)</f>
        <v>138553.70184254801</v>
      </c>
      <c r="D16" s="12">
        <f t="shared" si="0"/>
        <v>4212032.5360134589</v>
      </c>
      <c r="E16" s="13">
        <f>D16*(Assumptions!$B$2*Assumptions!$B$8 + Assumptions!$B$3*Assumptions!$B$9 + Assumptions!$B$4*6*Assumptions!$B$10)</f>
        <v>170059971.23503622</v>
      </c>
      <c r="F16" s="13">
        <f>D16*(Assumptions!$B$14+Assumptions!$B$15+Assumptions!$B$16+Assumptions!$B$17+Assumptions!$B$18)</f>
        <v>61453554.700436361</v>
      </c>
      <c r="G16" s="13">
        <f t="shared" si="1"/>
        <v>108606416.53459987</v>
      </c>
      <c r="H16" s="14">
        <f>IF(A16&lt;Assumptions!$B$24, Assumptions!$B$22*Assumptions!$B$23, 0)</f>
        <v>72828000</v>
      </c>
      <c r="I16" s="13">
        <f t="shared" si="2"/>
        <v>35778416.53459987</v>
      </c>
      <c r="J16" s="13">
        <f>I16/(1+((1+Assumptions!$B$28)^(1/12)-1))^(A16+0.5)</f>
        <v>31886360.704495788</v>
      </c>
    </row>
    <row r="17" spans="1:10" ht="14" x14ac:dyDescent="0.2">
      <c r="A17" s="10">
        <v>15</v>
      </c>
      <c r="B17" s="11">
        <v>137887.78818801601</v>
      </c>
      <c r="C17" s="11">
        <f xml:space="preserve"> B17 * EXP(-(Assumptions!$B$31 - 1) * 0.00421 * A17)</f>
        <v>137887.78818801601</v>
      </c>
      <c r="D17" s="12">
        <f t="shared" si="0"/>
        <v>4191788.7609156864</v>
      </c>
      <c r="E17" s="13">
        <f>D17*(Assumptions!$B$2*Assumptions!$B$8 + Assumptions!$B$3*Assumptions!$B$9 + Assumptions!$B$4*6*Assumptions!$B$10)</f>
        <v>169242632.86421868</v>
      </c>
      <c r="F17" s="13">
        <f>D17*(Assumptions!$B$14+Assumptions!$B$15+Assumptions!$B$16+Assumptions!$B$17+Assumptions!$B$18)</f>
        <v>61158198.02175986</v>
      </c>
      <c r="G17" s="13">
        <f t="shared" si="1"/>
        <v>108084434.84245881</v>
      </c>
      <c r="H17" s="14">
        <f>IF(A17&lt;Assumptions!$B$24, Assumptions!$B$22*Assumptions!$B$23, 0)</f>
        <v>72828000</v>
      </c>
      <c r="I17" s="13">
        <f t="shared" si="2"/>
        <v>35256434.842458814</v>
      </c>
      <c r="J17" s="13">
        <f>I17/(1+((1+Assumptions!$B$28)^(1/12)-1))^(A17+0.5)</f>
        <v>31172586.75894472</v>
      </c>
    </row>
    <row r="18" spans="1:10" ht="14" x14ac:dyDescent="0.2">
      <c r="A18" s="10">
        <v>16</v>
      </c>
      <c r="B18" s="11">
        <v>137234.61586786699</v>
      </c>
      <c r="C18" s="11">
        <f xml:space="preserve"> B18 * EXP(-(Assumptions!$B$31 - 1) * 0.00421 * A18)</f>
        <v>137234.61586786699</v>
      </c>
      <c r="D18" s="12">
        <f t="shared" si="0"/>
        <v>4171932.322383156</v>
      </c>
      <c r="E18" s="13">
        <f>D18*(Assumptions!$B$2*Assumptions!$B$8 + Assumptions!$B$3*Assumptions!$B$9 + Assumptions!$B$4*6*Assumptions!$B$10)</f>
        <v>168440933.12975547</v>
      </c>
      <c r="F18" s="13">
        <f>D18*(Assumptions!$B$14+Assumptions!$B$15+Assumptions!$B$16+Assumptions!$B$17+Assumptions!$B$18)</f>
        <v>60868492.583570249</v>
      </c>
      <c r="G18" s="13">
        <f t="shared" si="1"/>
        <v>107572440.54618523</v>
      </c>
      <c r="H18" s="14">
        <f>IF(A18&lt;Assumptions!$B$24, Assumptions!$B$22*Assumptions!$B$23, 0)</f>
        <v>72828000</v>
      </c>
      <c r="I18" s="13">
        <f t="shared" si="2"/>
        <v>34744440.546185225</v>
      </c>
      <c r="J18" s="13">
        <f>I18/(1+((1+Assumptions!$B$28)^(1/12)-1))^(A18+0.5)</f>
        <v>30476871.293494508</v>
      </c>
    </row>
    <row r="19" spans="1:10" ht="14" x14ac:dyDescent="0.2">
      <c r="A19" s="10">
        <v>17</v>
      </c>
      <c r="B19" s="11">
        <v>136595.62654248299</v>
      </c>
      <c r="C19" s="11">
        <f xml:space="preserve"> B19 * EXP(-(Assumptions!$B$31 - 1) * 0.00421 * A19)</f>
        <v>136595.62654248299</v>
      </c>
      <c r="D19" s="12">
        <f t="shared" si="0"/>
        <v>4152507.0468914825</v>
      </c>
      <c r="E19" s="13">
        <f>D19*(Assumptions!$B$2*Assumptions!$B$8 + Assumptions!$B$3*Assumptions!$B$9 + Assumptions!$B$4*6*Assumptions!$B$10)</f>
        <v>167656641.51683426</v>
      </c>
      <c r="F19" s="13">
        <f>D19*(Assumptions!$B$14+Assumptions!$B$15+Assumptions!$B$16+Assumptions!$B$17+Assumptions!$B$18)</f>
        <v>60585077.814146727</v>
      </c>
      <c r="G19" s="13">
        <f t="shared" si="1"/>
        <v>107071563.70268753</v>
      </c>
      <c r="H19" s="14">
        <f>IF(A19&lt;Assumptions!$B$24, Assumptions!$B$22*Assumptions!$B$23, 0)</f>
        <v>72828000</v>
      </c>
      <c r="I19" s="13">
        <f t="shared" si="2"/>
        <v>34243563.702687532</v>
      </c>
      <c r="J19" s="13">
        <f>I19/(1+((1+Assumptions!$B$28)^(1/12)-1))^(A19+0.5)</f>
        <v>29799887.363169361</v>
      </c>
    </row>
    <row r="20" spans="1:10" ht="14" x14ac:dyDescent="0.2">
      <c r="A20" s="10">
        <v>18</v>
      </c>
      <c r="B20" s="11">
        <v>135971.82490517199</v>
      </c>
      <c r="C20" s="11">
        <f xml:space="preserve"> B20 * EXP(-(Assumptions!$B$31 - 1) * 0.00421 * A20)</f>
        <v>135971.82490517199</v>
      </c>
      <c r="D20" s="12">
        <f t="shared" si="0"/>
        <v>4133543.4771172283</v>
      </c>
      <c r="E20" s="13">
        <f>D20*(Assumptions!$B$2*Assumptions!$B$8 + Assumptions!$B$3*Assumptions!$B$9 + Assumptions!$B$4*6*Assumptions!$B$10)</f>
        <v>166890991.17991272</v>
      </c>
      <c r="F20" s="13">
        <f>D20*(Assumptions!$B$14+Assumptions!$B$15+Assumptions!$B$16+Assumptions!$B$17+Assumptions!$B$18)</f>
        <v>60308399.331140362</v>
      </c>
      <c r="G20" s="13">
        <f t="shared" si="1"/>
        <v>106582591.84877235</v>
      </c>
      <c r="H20" s="14">
        <f>IF(A20&lt;Assumptions!$B$24, Assumptions!$B$22*Assumptions!$B$23, 0)</f>
        <v>72828000</v>
      </c>
      <c r="I20" s="13">
        <f t="shared" si="2"/>
        <v>33754591.848772347</v>
      </c>
      <c r="J20" s="13">
        <f>I20/(1+((1+Assumptions!$B$28)^(1/12)-1))^(A20+0.5)</f>
        <v>29141985.51795575</v>
      </c>
    </row>
    <row r="21" spans="1:10" ht="14" x14ac:dyDescent="0.2">
      <c r="A21" s="10">
        <v>19</v>
      </c>
      <c r="B21" s="11">
        <v>135363.879029298</v>
      </c>
      <c r="C21" s="11">
        <f xml:space="preserve"> B21 * EXP(-(Assumptions!$B$31 - 1) * 0.00421 * A21)</f>
        <v>135363.879029298</v>
      </c>
      <c r="D21" s="12">
        <f t="shared" si="0"/>
        <v>4115061.9224906587</v>
      </c>
      <c r="E21" s="13">
        <f>D21*(Assumptions!$B$2*Assumptions!$B$8 + Assumptions!$B$3*Assumptions!$B$9 + Assumptions!$B$4*6*Assumptions!$B$10)</f>
        <v>166144802.10817587</v>
      </c>
      <c r="F21" s="13">
        <f>D21*(Assumptions!$B$14+Assumptions!$B$15+Assumptions!$B$16+Assumptions!$B$17+Assumptions!$B$18)</f>
        <v>60038753.449138708</v>
      </c>
      <c r="G21" s="13">
        <f t="shared" si="1"/>
        <v>106106048.65903717</v>
      </c>
      <c r="H21" s="14">
        <f>IF(A21&lt;Assumptions!$B$24, Assumptions!$B$22*Assumptions!$B$23, 0)</f>
        <v>72828000</v>
      </c>
      <c r="I21" s="13">
        <f t="shared" si="2"/>
        <v>33278048.659037173</v>
      </c>
      <c r="J21" s="13">
        <f>I21/(1+((1+Assumptions!$B$28)^(1/12)-1))^(A21+0.5)</f>
        <v>28503273.433892913</v>
      </c>
    </row>
    <row r="22" spans="1:10" ht="14" x14ac:dyDescent="0.2">
      <c r="A22" s="10">
        <v>20</v>
      </c>
      <c r="B22" s="11">
        <v>134772.19687702</v>
      </c>
      <c r="C22" s="11">
        <f xml:space="preserve"> B22 * EXP(-(Assumptions!$B$31 - 1) * 0.00421 * A22)</f>
        <v>134772.19687702</v>
      </c>
      <c r="D22" s="12">
        <f t="shared" si="0"/>
        <v>4097074.7850614078</v>
      </c>
      <c r="E22" s="13">
        <f>D22*(Assumptions!$B$2*Assumptions!$B$8 + Assumptions!$B$3*Assumptions!$B$9 + Assumptions!$B$4*6*Assumptions!$B$10)</f>
        <v>165418575.03189737</v>
      </c>
      <c r="F22" s="13">
        <f>D22*(Assumptions!$B$14+Assumptions!$B$15+Assumptions!$B$16+Assumptions!$B$17+Assumptions!$B$18)</f>
        <v>59776321.11404594</v>
      </c>
      <c r="G22" s="13">
        <f t="shared" si="1"/>
        <v>105642253.91785142</v>
      </c>
      <c r="H22" s="14">
        <f>IF(A22&lt;Assumptions!$B$24, Assumptions!$B$22*Assumptions!$B$23, 0)</f>
        <v>72828000</v>
      </c>
      <c r="I22" s="13">
        <f t="shared" si="2"/>
        <v>32814253.917851418</v>
      </c>
      <c r="J22" s="13">
        <f>I22/(1+((1+Assumptions!$B$28)^(1/12)-1))^(A22+0.5)</f>
        <v>27883676.181305945</v>
      </c>
    </row>
    <row r="23" spans="1:10" ht="14" x14ac:dyDescent="0.2">
      <c r="A23" s="10">
        <v>21</v>
      </c>
      <c r="B23" s="11">
        <v>134196.98512441001</v>
      </c>
      <c r="C23" s="11">
        <f xml:space="preserve"> B23 * EXP(-(Assumptions!$B$31 - 1) * 0.00421 * A23)</f>
        <v>134196.98512441001</v>
      </c>
      <c r="D23" s="12">
        <f t="shared" si="0"/>
        <v>4079588.3477820642</v>
      </c>
      <c r="E23" s="13">
        <f>D23*(Assumptions!$B$2*Assumptions!$B$8 + Assumptions!$B$3*Assumptions!$B$9 + Assumptions!$B$4*6*Assumptions!$B$10)</f>
        <v>164712563.62403131</v>
      </c>
      <c r="F23" s="13">
        <f>D23*(Assumptions!$B$14+Assumptions!$B$15+Assumptions!$B$16+Assumptions!$B$17+Assumptions!$B$18)</f>
        <v>59521193.99414032</v>
      </c>
      <c r="G23" s="13">
        <f t="shared" si="1"/>
        <v>105191369.62989098</v>
      </c>
      <c r="H23" s="14">
        <f>IF(A23&lt;Assumptions!$B$24, Assumptions!$B$22*Assumptions!$B$23, 0)</f>
        <v>72828000</v>
      </c>
      <c r="I23" s="13">
        <f t="shared" si="2"/>
        <v>32363369.629890978</v>
      </c>
      <c r="J23" s="13">
        <f>I23/(1+((1+Assumptions!$B$28)^(1/12)-1))^(A23+0.5)</f>
        <v>27282982.170397043</v>
      </c>
    </row>
    <row r="24" spans="1:10" ht="14" x14ac:dyDescent="0.2">
      <c r="A24" s="10">
        <v>22</v>
      </c>
      <c r="B24" s="11">
        <v>133638.29472003499</v>
      </c>
      <c r="C24" s="11">
        <f xml:space="preserve"> B24 * EXP(-(Assumptions!$B$31 - 1) * 0.00421 * A24)</f>
        <v>133638.29472003499</v>
      </c>
      <c r="D24" s="12">
        <f t="shared" si="0"/>
        <v>4062604.1594890635</v>
      </c>
      <c r="E24" s="13">
        <f>D24*(Assumptions!$B$2*Assumptions!$B$8 + Assumptions!$B$3*Assumptions!$B$9 + Assumptions!$B$4*6*Assumptions!$B$10)</f>
        <v>164026830.41853908</v>
      </c>
      <c r="F24" s="13">
        <f>D24*(Assumptions!$B$14+Assumptions!$B$15+Assumptions!$B$16+Assumptions!$B$17+Assumptions!$B$18)</f>
        <v>59273394.686945438</v>
      </c>
      <c r="G24" s="13">
        <f t="shared" si="1"/>
        <v>104753435.73159364</v>
      </c>
      <c r="H24" s="14">
        <f>IF(A24&lt;Assumptions!$B$24, Assumptions!$B$22*Assumptions!$B$23, 0)</f>
        <v>72828000</v>
      </c>
      <c r="I24" s="13">
        <f t="shared" si="2"/>
        <v>31925435.731593639</v>
      </c>
      <c r="J24" s="13">
        <f>I24/(1+((1+Assumptions!$B$28)^(1/12)-1))^(A24+0.5)</f>
        <v>26700878.388040945</v>
      </c>
    </row>
    <row r="25" spans="1:10" ht="14" x14ac:dyDescent="0.2">
      <c r="A25" s="10">
        <v>23</v>
      </c>
      <c r="B25" s="11">
        <v>133096.056390132</v>
      </c>
      <c r="C25" s="11">
        <f xml:space="preserve"> B25 * EXP(-(Assumptions!$B$31 - 1) * 0.00421 * A25)</f>
        <v>133096.056390132</v>
      </c>
      <c r="D25" s="12">
        <f t="shared" si="0"/>
        <v>4046120.1142600127</v>
      </c>
      <c r="E25" s="13">
        <f>D25*(Assumptions!$B$2*Assumptions!$B$8 + Assumptions!$B$3*Assumptions!$B$9 + Assumptions!$B$4*6*Assumptions!$B$10)</f>
        <v>163361290.38922518</v>
      </c>
      <c r="F25" s="13">
        <f>D25*(Assumptions!$B$14+Assumptions!$B$15+Assumptions!$B$16+Assumptions!$B$17+Assumptions!$B$18)</f>
        <v>59032892.467053585</v>
      </c>
      <c r="G25" s="13">
        <f t="shared" si="1"/>
        <v>104328397.92217159</v>
      </c>
      <c r="H25" s="14">
        <f>IF(A25&lt;Assumptions!$B$24, Assumptions!$B$22*Assumptions!$B$23, 0)</f>
        <v>72828000</v>
      </c>
      <c r="I25" s="13">
        <f t="shared" si="2"/>
        <v>31500397.922171593</v>
      </c>
      <c r="J25" s="13">
        <f>I25/(1+((1+Assumptions!$B$28)^(1/12)-1))^(A25+0.5)</f>
        <v>26136977.55136295</v>
      </c>
    </row>
    <row r="26" spans="1:10" ht="14" x14ac:dyDescent="0.2">
      <c r="A26" s="10">
        <v>24</v>
      </c>
      <c r="B26" s="11">
        <v>132570.108456327</v>
      </c>
      <c r="C26" s="11">
        <f xml:space="preserve"> B26 * EXP(-(Assumptions!$B$31 - 1) * 0.00421 * A26)</f>
        <v>132570.108456327</v>
      </c>
      <c r="D26" s="12">
        <f t="shared" si="0"/>
        <v>4030131.2970723407</v>
      </c>
      <c r="E26" s="13">
        <f>D26*(Assumptions!$B$2*Assumptions!$B$8 + Assumptions!$B$3*Assumptions!$B$9 + Assumptions!$B$4*6*Assumptions!$B$10)</f>
        <v>162715745.09303638</v>
      </c>
      <c r="F26" s="13">
        <f>D26*(Assumptions!$B$14+Assumptions!$B$15+Assumptions!$B$16+Assumptions!$B$17+Assumptions!$B$18)</f>
        <v>58799615.624285452</v>
      </c>
      <c r="G26" s="13">
        <f t="shared" si="1"/>
        <v>103916129.46875092</v>
      </c>
      <c r="H26" s="14">
        <f>IF(A26&lt;Assumptions!$B$24, Assumptions!$B$22*Assumptions!$B$23, 0)</f>
        <v>72828000</v>
      </c>
      <c r="I26" s="13">
        <f t="shared" si="2"/>
        <v>31088129.468750924</v>
      </c>
      <c r="J26" s="13">
        <f>I26/(1+((1+Assumptions!$B$28)^(1/12)-1))^(A26+0.5)</f>
        <v>25590839.108410686</v>
      </c>
    </row>
    <row r="27" spans="1:10" ht="14" x14ac:dyDescent="0.2">
      <c r="A27" s="10">
        <v>25</v>
      </c>
      <c r="B27" s="11">
        <v>132060.21872737701</v>
      </c>
      <c r="C27" s="11">
        <f xml:space="preserve"> B27 * EXP(-(Assumptions!$B$31 - 1) * 0.00421 * A27)</f>
        <v>132060.21872737701</v>
      </c>
      <c r="D27" s="12">
        <f t="shared" si="0"/>
        <v>4014630.649312261</v>
      </c>
      <c r="E27" s="13">
        <f>D27*(Assumptions!$B$2*Assumptions!$B$8 + Assumptions!$B$3*Assumptions!$B$9 + Assumptions!$B$4*6*Assumptions!$B$10)</f>
        <v>162089909.53985271</v>
      </c>
      <c r="F27" s="13">
        <f>D27*(Assumptions!$B$14+Assumptions!$B$15+Assumptions!$B$16+Assumptions!$B$17+Assumptions!$B$18)</f>
        <v>58573461.173465885</v>
      </c>
      <c r="G27" s="13">
        <f t="shared" si="1"/>
        <v>103516448.36638683</v>
      </c>
      <c r="H27" s="14">
        <f>IF(A27&lt;Assumptions!$B$24, Assumptions!$B$22*Assumptions!$B$23, 0)</f>
        <v>72828000</v>
      </c>
      <c r="I27" s="13">
        <f t="shared" si="2"/>
        <v>30688448.366386831</v>
      </c>
      <c r="J27" s="13">
        <f>I27/(1+((1+Assumptions!$B$28)^(1/12)-1))^(A27+0.5)</f>
        <v>25061985.520339668</v>
      </c>
    </row>
    <row r="28" spans="1:10" ht="14" x14ac:dyDescent="0.2">
      <c r="A28" s="10">
        <v>26</v>
      </c>
      <c r="B28" s="11">
        <v>131566.10178955199</v>
      </c>
      <c r="C28" s="11">
        <f xml:space="preserve"> B28 * EXP(-(Assumptions!$B$31 - 1) * 0.00421 * A28)</f>
        <v>131566.10178955199</v>
      </c>
      <c r="D28" s="12">
        <f t="shared" si="0"/>
        <v>3999609.4944023802</v>
      </c>
      <c r="E28" s="13">
        <f>D28*(Assumptions!$B$2*Assumptions!$B$8 + Assumptions!$B$3*Assumptions!$B$9 + Assumptions!$B$4*6*Assumptions!$B$10)</f>
        <v>161483433.41459724</v>
      </c>
      <c r="F28" s="13">
        <f>D28*(Assumptions!$B$14+Assumptions!$B$15+Assumptions!$B$16+Assumptions!$B$17+Assumptions!$B$18)</f>
        <v>58354302.523330726</v>
      </c>
      <c r="G28" s="13">
        <f t="shared" si="1"/>
        <v>103129130.89126652</v>
      </c>
      <c r="H28" s="14">
        <f>IF(A28&lt;Assumptions!$B$24, Assumptions!$B$22*Assumptions!$B$23, 0)</f>
        <v>72828000</v>
      </c>
      <c r="I28" s="13">
        <f t="shared" si="2"/>
        <v>30301130.891266525</v>
      </c>
      <c r="J28" s="13">
        <f>I28/(1+((1+Assumptions!$B$28)^(1/12)-1))^(A28+0.5)</f>
        <v>24549914.901366144</v>
      </c>
    </row>
    <row r="29" spans="1:10" ht="14" x14ac:dyDescent="0.2">
      <c r="A29" s="10">
        <v>27</v>
      </c>
      <c r="B29" s="11">
        <v>131087.43270088901</v>
      </c>
      <c r="C29" s="11">
        <f xml:space="preserve"> B29 * EXP(-(Assumptions!$B$31 - 1) * 0.00421 * A29)</f>
        <v>131087.43270088901</v>
      </c>
      <c r="D29" s="12">
        <f t="shared" si="0"/>
        <v>3985057.9541070256</v>
      </c>
      <c r="E29" s="13">
        <f>D29*(Assumptions!$B$2*Assumptions!$B$8 + Assumptions!$B$3*Assumptions!$B$9 + Assumptions!$B$4*6*Assumptions!$B$10)</f>
        <v>160895917.88548037</v>
      </c>
      <c r="F29" s="13">
        <f>D29*(Assumptions!$B$14+Assumptions!$B$15+Assumptions!$B$16+Assumptions!$B$17+Assumptions!$B$18)</f>
        <v>58141995.550421506</v>
      </c>
      <c r="G29" s="13">
        <f t="shared" si="1"/>
        <v>102753922.33505887</v>
      </c>
      <c r="H29" s="14">
        <f>IF(A29&lt;Assumptions!$B$24, Assumptions!$B$22*Assumptions!$B$23, 0)</f>
        <v>72828000</v>
      </c>
      <c r="I29" s="13">
        <f t="shared" si="2"/>
        <v>29925922.335058868</v>
      </c>
      <c r="J29" s="13">
        <f>I29/(1+((1+Assumptions!$B$28)^(1/12)-1))^(A29+0.5)</f>
        <v>24054110.831102781</v>
      </c>
    </row>
    <row r="30" spans="1:10" ht="14" x14ac:dyDescent="0.2">
      <c r="A30" s="10">
        <v>28</v>
      </c>
      <c r="B30" s="11">
        <v>130623.85785852</v>
      </c>
      <c r="C30" s="11">
        <f xml:space="preserve"> B30 * EXP(-(Assumptions!$B$31 - 1) * 0.00421 * A30)</f>
        <v>130623.85785852</v>
      </c>
      <c r="D30" s="12">
        <f t="shared" si="0"/>
        <v>3970965.2788990079</v>
      </c>
      <c r="E30" s="13">
        <f>D30*(Assumptions!$B$2*Assumptions!$B$8 + Assumptions!$B$3*Assumptions!$B$9 + Assumptions!$B$4*6*Assumptions!$B$10)</f>
        <v>160326928.94249171</v>
      </c>
      <c r="F30" s="13">
        <f>D30*(Assumptions!$B$14+Assumptions!$B$15+Assumptions!$B$16+Assumptions!$B$17+Assumptions!$B$18)</f>
        <v>57936383.419136524</v>
      </c>
      <c r="G30" s="13">
        <f t="shared" si="1"/>
        <v>102390545.52335519</v>
      </c>
      <c r="H30" s="14">
        <f>IF(A30&lt;Assumptions!$B$24, Assumptions!$B$22*Assumptions!$B$23, 0)</f>
        <v>72828000</v>
      </c>
      <c r="I30" s="13">
        <f t="shared" si="2"/>
        <v>29562545.523355186</v>
      </c>
      <c r="J30" s="13">
        <f>I30/(1+((1+Assumptions!$B$28)^(1/12)-1))^(A30+0.5)</f>
        <v>23574049.960746899</v>
      </c>
    </row>
    <row r="31" spans="1:10" ht="14" x14ac:dyDescent="0.2">
      <c r="A31" s="10">
        <v>29</v>
      </c>
      <c r="B31" s="11">
        <v>130175.003632184</v>
      </c>
      <c r="C31" s="11">
        <f xml:space="preserve"> B31 * EXP(-(Assumptions!$B$31 - 1) * 0.00421 * A31)</f>
        <v>130175.003632184</v>
      </c>
      <c r="D31" s="12">
        <f t="shared" si="0"/>
        <v>3957320.1104183933</v>
      </c>
      <c r="E31" s="13">
        <f>D31*(Assumptions!$B$2*Assumptions!$B$8 + Assumptions!$B$3*Assumptions!$B$9 + Assumptions!$B$4*6*Assumptions!$B$10)</f>
        <v>159776007.99412057</v>
      </c>
      <c r="F31" s="13">
        <f>D31*(Assumptions!$B$14+Assumptions!$B$15+Assumptions!$B$16+Assumptions!$B$17+Assumptions!$B$18)</f>
        <v>57737300.411004357</v>
      </c>
      <c r="G31" s="13">
        <f t="shared" si="1"/>
        <v>102038707.5831162</v>
      </c>
      <c r="H31" s="14">
        <f>IF(A31&lt;Assumptions!$B$24, Assumptions!$B$22*Assumptions!$B$23, 0)</f>
        <v>72828000</v>
      </c>
      <c r="I31" s="13">
        <f t="shared" si="2"/>
        <v>29210707.583116204</v>
      </c>
      <c r="J31" s="13">
        <f>I31/(1+((1+Assumptions!$B$28)^(1/12)-1))^(A31+0.5)</f>
        <v>23109207.890676674</v>
      </c>
    </row>
    <row r="32" spans="1:10" ht="14" x14ac:dyDescent="0.2">
      <c r="A32" s="10">
        <v>30</v>
      </c>
      <c r="B32" s="11">
        <v>129740.483224407</v>
      </c>
      <c r="C32" s="11">
        <f xml:space="preserve"> B32 * EXP(-(Assumptions!$B$31 - 1) * 0.00421 * A32)</f>
        <v>129740.483224407</v>
      </c>
      <c r="D32" s="12">
        <f t="shared" si="0"/>
        <v>3944110.6900219726</v>
      </c>
      <c r="E32" s="13">
        <f>D32*(Assumptions!$B$2*Assumptions!$B$8 + Assumptions!$B$3*Assumptions!$B$9 + Assumptions!$B$4*6*Assumptions!$B$10)</f>
        <v>159242680.28749916</v>
      </c>
      <c r="F32" s="13">
        <f>D32*(Assumptions!$B$14+Assumptions!$B$15+Assumptions!$B$16+Assumptions!$B$17+Assumptions!$B$18)</f>
        <v>57544574.967420578</v>
      </c>
      <c r="G32" s="13">
        <f t="shared" si="1"/>
        <v>101698105.32007858</v>
      </c>
      <c r="H32" s="14">
        <f>IF(A32&lt;Assumptions!$B$24, Assumptions!$B$22*Assumptions!$B$23, 0)</f>
        <v>72828000</v>
      </c>
      <c r="I32" s="13">
        <f t="shared" si="2"/>
        <v>28870105.320078582</v>
      </c>
      <c r="J32" s="13">
        <f>I32/(1+((1+Assumptions!$B$28)^(1/12)-1))^(A32+0.5)</f>
        <v>22659063.688792646</v>
      </c>
    </row>
    <row r="33" spans="1:10" ht="14" x14ac:dyDescent="0.2">
      <c r="A33" s="10">
        <v>31</v>
      </c>
      <c r="B33" s="11">
        <v>129319.90211716499</v>
      </c>
      <c r="C33" s="11">
        <f xml:space="preserve"> B33 * EXP(-(Assumptions!$B$31 - 1) * 0.00421 * A33)</f>
        <v>129319.90211716499</v>
      </c>
      <c r="D33" s="12">
        <f t="shared" si="0"/>
        <v>3931325.0243618158</v>
      </c>
      <c r="E33" s="13">
        <f>D33*(Assumptions!$B$2*Assumptions!$B$8 + Assumptions!$B$3*Assumptions!$B$9 + Assumptions!$B$4*6*Assumptions!$B$10)</f>
        <v>158726461.59360346</v>
      </c>
      <c r="F33" s="13">
        <f>D33*(Assumptions!$B$14+Assumptions!$B$15+Assumptions!$B$16+Assumptions!$B$17+Assumptions!$B$18)</f>
        <v>57358032.105438888</v>
      </c>
      <c r="G33" s="13">
        <f t="shared" si="1"/>
        <v>101368429.48816457</v>
      </c>
      <c r="H33" s="14">
        <f>IF(A33&lt;Assumptions!$B$24, Assumptions!$B$22*Assumptions!$B$23, 0)</f>
        <v>72828000</v>
      </c>
      <c r="I33" s="13">
        <f t="shared" si="2"/>
        <v>28540429.488164574</v>
      </c>
      <c r="J33" s="13">
        <f>I33/(1+((1+Assumptions!$B$28)^(1/12)-1))^(A33+0.5)</f>
        <v>22223103.33694667</v>
      </c>
    </row>
    <row r="34" spans="1:10" ht="14" x14ac:dyDescent="0.2">
      <c r="A34" s="10">
        <v>32</v>
      </c>
      <c r="B34" s="11">
        <v>128912.862387849</v>
      </c>
      <c r="C34" s="11">
        <f xml:space="preserve"> B34 * EXP(-(Assumptions!$B$31 - 1) * 0.00421 * A34)</f>
        <v>128912.862387849</v>
      </c>
      <c r="D34" s="12">
        <f t="shared" si="0"/>
        <v>3918951.0165906097</v>
      </c>
      <c r="E34" s="13">
        <f>D34*(Assumptions!$B$2*Assumptions!$B$8 + Assumptions!$B$3*Assumptions!$B$9 + Assumptions!$B$4*6*Assumptions!$B$10)</f>
        <v>158226863.50464258</v>
      </c>
      <c r="F34" s="13">
        <f>D34*(Assumptions!$B$14+Assumptions!$B$15+Assumptions!$B$16+Assumptions!$B$17+Assumptions!$B$18)</f>
        <v>57177495.332056992</v>
      </c>
      <c r="G34" s="13">
        <f t="shared" si="1"/>
        <v>101049368.17258558</v>
      </c>
      <c r="H34" s="14">
        <f>IF(A34&lt;Assumptions!$B$24, Assumptions!$B$22*Assumptions!$B$23, 0)</f>
        <v>72828000</v>
      </c>
      <c r="I34" s="13">
        <f t="shared" si="2"/>
        <v>28221368.172585577</v>
      </c>
      <c r="J34" s="13">
        <f>I34/(1+((1+Assumptions!$B$28)^(1/12)-1))^(A34+0.5)</f>
        <v>21800822.330214601</v>
      </c>
    </row>
    <row r="35" spans="1:10" ht="14" x14ac:dyDescent="0.2">
      <c r="A35" s="10">
        <v>33</v>
      </c>
      <c r="B35" s="11">
        <v>128518.966117962</v>
      </c>
      <c r="C35" s="11">
        <f xml:space="preserve"> B35 * EXP(-(Assumptions!$B$31 - 1) * 0.00421 * A35)</f>
        <v>128518.966117962</v>
      </c>
      <c r="D35" s="12">
        <f t="shared" si="0"/>
        <v>3906976.5699860449</v>
      </c>
      <c r="E35" s="13">
        <f>D35*(Assumptions!$B$2*Assumptions!$B$8 + Assumptions!$B$3*Assumptions!$B$9 + Assumptions!$B$4*6*Assumptions!$B$10)</f>
        <v>157743397.6178726</v>
      </c>
      <c r="F35" s="13">
        <f>D35*(Assumptions!$B$14+Assumptions!$B$15+Assumptions!$B$16+Assumptions!$B$17+Assumptions!$B$18)</f>
        <v>57002788.156096391</v>
      </c>
      <c r="G35" s="13">
        <f t="shared" si="1"/>
        <v>100740609.4617762</v>
      </c>
      <c r="H35" s="14">
        <f>IF(A35&lt;Assumptions!$B$24, Assumptions!$B$22*Assumptions!$B$23, 0)</f>
        <v>72828000</v>
      </c>
      <c r="I35" s="13">
        <f t="shared" si="2"/>
        <v>27912609.461776197</v>
      </c>
      <c r="J35" s="13">
        <f>I35/(1+((1+Assumptions!$B$28)^(1/12)-1))^(A35+0.5)</f>
        <v>21391727.605620299</v>
      </c>
    </row>
    <row r="36" spans="1:10" ht="14" x14ac:dyDescent="0.2">
      <c r="A36" s="10">
        <v>34</v>
      </c>
      <c r="B36" s="11">
        <v>128137.818071995</v>
      </c>
      <c r="C36" s="11">
        <f xml:space="preserve"> B36 * EXP(-(Assumptions!$B$31 - 1) * 0.00421 * A36)</f>
        <v>128137.818071995</v>
      </c>
      <c r="D36" s="12">
        <f t="shared" si="0"/>
        <v>3895389.6693886481</v>
      </c>
      <c r="E36" s="13">
        <f>D36*(Assumptions!$B$2*Assumptions!$B$8 + Assumptions!$B$3*Assumptions!$B$9 + Assumptions!$B$4*6*Assumptions!$B$10)</f>
        <v>157275578.82363281</v>
      </c>
      <c r="F36" s="13">
        <f>D36*(Assumptions!$B$14+Assumptions!$B$15+Assumptions!$B$16+Assumptions!$B$17+Assumptions!$B$18)</f>
        <v>56833735.276380375</v>
      </c>
      <c r="G36" s="13">
        <f t="shared" si="1"/>
        <v>100441843.54725243</v>
      </c>
      <c r="H36" s="14">
        <f>IF(A36&lt;Assumptions!$B$24, Assumptions!$B$22*Assumptions!$B$23, 0)</f>
        <v>72828000</v>
      </c>
      <c r="I36" s="13">
        <f t="shared" si="2"/>
        <v>27613843.547252432</v>
      </c>
      <c r="J36" s="13">
        <f>I36/(1+((1+Assumptions!$B$28)^(1/12)-1))^(A36+0.5)</f>
        <v>20995338.939726107</v>
      </c>
    </row>
    <row r="37" spans="1:10" ht="14" x14ac:dyDescent="0.2">
      <c r="A37" s="10">
        <v>35</v>
      </c>
      <c r="B37" s="11">
        <v>127769.02778799301</v>
      </c>
      <c r="C37" s="11">
        <f xml:space="preserve"> B37 * EXP(-(Assumptions!$B$31 - 1) * 0.00421 * A37)</f>
        <v>127769.02778799301</v>
      </c>
      <c r="D37" s="12">
        <f t="shared" si="0"/>
        <v>3884178.444754987</v>
      </c>
      <c r="E37" s="13">
        <f>D37*(Assumptions!$B$2*Assumptions!$B$8 + Assumptions!$B$3*Assumptions!$B$9 + Assumptions!$B$4*6*Assumptions!$B$10)</f>
        <v>156822927.87129369</v>
      </c>
      <c r="F37" s="13">
        <f>D37*(Assumptions!$B$14+Assumptions!$B$15+Assumptions!$B$16+Assumptions!$B$17+Assumptions!$B$18)</f>
        <v>56670163.50897526</v>
      </c>
      <c r="G37" s="13">
        <f t="shared" si="1"/>
        <v>100152764.36231843</v>
      </c>
      <c r="H37" s="14">
        <f>IF(A37&lt;Assumptions!$B$24, Assumptions!$B$22*Assumptions!$B$23, 0)</f>
        <v>72828000</v>
      </c>
      <c r="I37" s="13">
        <f t="shared" si="2"/>
        <v>27324764.362318426</v>
      </c>
      <c r="J37" s="13">
        <f>I37/(1+((1+Assumptions!$B$28)^(1/12)-1))^(A37+0.5)</f>
        <v>20611189.925535329</v>
      </c>
    </row>
    <row r="38" spans="1:10" ht="14" x14ac:dyDescent="0.2">
      <c r="A38" s="10">
        <v>36</v>
      </c>
      <c r="B38" s="11">
        <v>127412.211193133</v>
      </c>
      <c r="C38" s="11">
        <f xml:space="preserve"> B38 * EXP(-(Assumptions!$B$31 - 1) * 0.00421 * A38)</f>
        <v>127412.211193133</v>
      </c>
      <c r="D38" s="12">
        <f t="shared" si="0"/>
        <v>3873331.2202712432</v>
      </c>
      <c r="E38" s="13">
        <f>D38*(Assumptions!$B$2*Assumptions!$B$8 + Assumptions!$B$3*Assumptions!$B$9 + Assumptions!$B$4*6*Assumptions!$B$10)</f>
        <v>156384973.35220742</v>
      </c>
      <c r="F38" s="13">
        <f>D38*(Assumptions!$B$14+Assumptions!$B$15+Assumptions!$B$16+Assumptions!$B$17+Assumptions!$B$18)</f>
        <v>56511902.50375744</v>
      </c>
      <c r="G38" s="13">
        <f t="shared" si="1"/>
        <v>99873070.848449975</v>
      </c>
      <c r="H38" s="14">
        <f>IF(A38&lt;Assumptions!$B$24, Assumptions!$B$22*Assumptions!$B$23, 0)</f>
        <v>72828000</v>
      </c>
      <c r="I38" s="13">
        <f t="shared" si="2"/>
        <v>27045070.848449975</v>
      </c>
      <c r="J38" s="13">
        <f>I38/(1+((1+Assumptions!$B$28)^(1/12)-1))^(A38+0.5)</f>
        <v>20238828.616502244</v>
      </c>
    </row>
    <row r="39" spans="1:10" ht="14" x14ac:dyDescent="0.2">
      <c r="A39" s="10">
        <v>37</v>
      </c>
      <c r="B39" s="11">
        <v>127066.99183543</v>
      </c>
      <c r="C39" s="11">
        <f xml:space="preserve"> B39 * EXP(-(Assumptions!$B$31 - 1) * 0.00421 * A39)</f>
        <v>127066.99183543</v>
      </c>
      <c r="D39" s="12">
        <f t="shared" si="0"/>
        <v>3862836.5517970719</v>
      </c>
      <c r="E39" s="13">
        <f>D39*(Assumptions!$B$2*Assumptions!$B$8 + Assumptions!$B$3*Assumptions!$B$9 + Assumptions!$B$4*6*Assumptions!$B$10)</f>
        <v>155961253.21149644</v>
      </c>
      <c r="F39" s="13">
        <f>D39*(Assumptions!$B$14+Assumptions!$B$15+Assumptions!$B$16+Assumptions!$B$17+Assumptions!$B$18)</f>
        <v>56358785.290719278</v>
      </c>
      <c r="G39" s="13">
        <f t="shared" si="1"/>
        <v>99602467.920777172</v>
      </c>
      <c r="H39" s="14">
        <f>IF(A39&lt;Assumptions!$B$24, Assumptions!$B$22*Assumptions!$B$23, 0)</f>
        <v>72828000</v>
      </c>
      <c r="I39" s="13">
        <f t="shared" si="2"/>
        <v>26774467.920777172</v>
      </c>
      <c r="J39" s="13">
        <f>I39/(1+((1+Assumptions!$B$28)^(1/12)-1))^(A39+0.5)</f>
        <v>19877817.907662563</v>
      </c>
    </row>
    <row r="40" spans="1:10" ht="14" x14ac:dyDescent="0.2">
      <c r="A40" s="10">
        <v>38</v>
      </c>
      <c r="B40" s="11">
        <v>126733.001805019</v>
      </c>
      <c r="C40" s="11">
        <f xml:space="preserve"> B40 * EXP(-(Assumptions!$B$31 - 1) * 0.00421 * A40)</f>
        <v>126733.001805019</v>
      </c>
      <c r="D40" s="12">
        <f t="shared" si="0"/>
        <v>3852683.2548725773</v>
      </c>
      <c r="E40" s="13">
        <f>D40*(Assumptions!$B$2*Assumptions!$B$8 + Assumptions!$B$3*Assumptions!$B$9 + Assumptions!$B$4*6*Assumptions!$B$10)</f>
        <v>155551315.87882936</v>
      </c>
      <c r="F40" s="13">
        <f>D40*(Assumptions!$B$14+Assumptions!$B$15+Assumptions!$B$16+Assumptions!$B$17+Assumptions!$B$18)</f>
        <v>56210648.688590899</v>
      </c>
      <c r="G40" s="13">
        <f t="shared" si="1"/>
        <v>99340667.190238461</v>
      </c>
      <c r="H40" s="14">
        <f>IF(A40&lt;Assumptions!$B$24, Assumptions!$B$22*Assumptions!$B$23, 0)</f>
        <v>72828000</v>
      </c>
      <c r="I40" s="13">
        <f t="shared" si="2"/>
        <v>26512667.190238461</v>
      </c>
      <c r="J40" s="13">
        <f>I40/(1+((1+Assumptions!$B$28)^(1/12)-1))^(A40+0.5)</f>
        <v>19527735.709818486</v>
      </c>
    </row>
    <row r="41" spans="1:10" ht="14" x14ac:dyDescent="0.2">
      <c r="A41" s="10">
        <v>39</v>
      </c>
      <c r="B41" s="11">
        <v>126409.882404467</v>
      </c>
      <c r="C41" s="11">
        <f xml:space="preserve"> B41 * EXP(-(Assumptions!$B$31 - 1) * 0.00421 * A41)</f>
        <v>126409.882404467</v>
      </c>
      <c r="D41" s="12">
        <f t="shared" si="0"/>
        <v>3842860.4250957966</v>
      </c>
      <c r="E41" s="13">
        <f>D41*(Assumptions!$B$2*Assumptions!$B$8 + Assumptions!$B$3*Assumptions!$B$9 + Assumptions!$B$4*6*Assumptions!$B$10)</f>
        <v>155154721.09115779</v>
      </c>
      <c r="F41" s="13">
        <f>D41*(Assumptions!$B$14+Assumptions!$B$15+Assumptions!$B$16+Assumptions!$B$17+Assumptions!$B$18)</f>
        <v>56067333.602147669</v>
      </c>
      <c r="G41" s="13">
        <f t="shared" si="1"/>
        <v>99087387.489010125</v>
      </c>
      <c r="H41" s="14">
        <f>IF(A41&lt;Assumptions!$B$24, Assumptions!$B$22*Assumptions!$B$23, 0)</f>
        <v>72828000</v>
      </c>
      <c r="I41" s="13">
        <f t="shared" si="2"/>
        <v>26259387.489010125</v>
      </c>
      <c r="J41" s="13">
        <f>I41/(1+((1+Assumptions!$B$28)^(1/12)-1))^(A41+0.5)</f>
        <v>19188174.961597696</v>
      </c>
    </row>
    <row r="42" spans="1:10" ht="14" x14ac:dyDescent="0.2">
      <c r="A42" s="10">
        <v>40</v>
      </c>
      <c r="B42" s="11">
        <v>126097.284616299</v>
      </c>
      <c r="C42" s="11">
        <f xml:space="preserve"> B42 * EXP(-(Assumptions!$B$31 - 1) * 0.00421 * A42)</f>
        <v>126097.284616299</v>
      </c>
      <c r="D42" s="12">
        <f t="shared" si="0"/>
        <v>3833357.4523354894</v>
      </c>
      <c r="E42" s="13">
        <f>D42*(Assumptions!$B$2*Assumptions!$B$8 + Assumptions!$B$3*Assumptions!$B$9 + Assumptions!$B$4*6*Assumptions!$B$10)</f>
        <v>154771040.46655494</v>
      </c>
      <c r="F42" s="13">
        <f>D42*(Assumptions!$B$14+Assumptions!$B$15+Assumptions!$B$16+Assumptions!$B$17+Assumptions!$B$18)</f>
        <v>55928685.229574792</v>
      </c>
      <c r="G42" s="13">
        <f t="shared" si="1"/>
        <v>98842355.23698014</v>
      </c>
      <c r="H42" s="14">
        <f>IF(A42&lt;Assumptions!$B$24, Assumptions!$B$22*Assumptions!$B$23, 0)</f>
        <v>72828000</v>
      </c>
      <c r="I42" s="13">
        <f t="shared" si="2"/>
        <v>26014355.23698014</v>
      </c>
      <c r="J42" s="13">
        <f>I42/(1+((1+Assumptions!$B$28)^(1/12)-1))^(A42+0.5)</f>
        <v>18858743.515312862</v>
      </c>
    </row>
    <row r="43" spans="1:10" ht="14" x14ac:dyDescent="0.2">
      <c r="A43" s="10">
        <v>41</v>
      </c>
      <c r="B43" s="11">
        <v>125794.869406959</v>
      </c>
      <c r="C43" s="11">
        <f xml:space="preserve"> B43 * EXP(-(Assumptions!$B$31 - 1) * 0.00421 * A43)</f>
        <v>125794.869406959</v>
      </c>
      <c r="D43" s="12">
        <f t="shared" si="0"/>
        <v>3824164.0299715535</v>
      </c>
      <c r="E43" s="13">
        <f>D43*(Assumptions!$B$2*Assumptions!$B$8 + Assumptions!$B$3*Assumptions!$B$9 + Assumptions!$B$4*6*Assumptions!$B$10)</f>
        <v>154399857.87729549</v>
      </c>
      <c r="F43" s="13">
        <f>D43*(Assumptions!$B$14+Assumptions!$B$15+Assumptions!$B$16+Assumptions!$B$17+Assumptions!$B$18)</f>
        <v>55794553.197284967</v>
      </c>
      <c r="G43" s="13">
        <f t="shared" si="1"/>
        <v>98605304.680010527</v>
      </c>
      <c r="H43" s="14">
        <f>IF(A43&lt;Assumptions!$B$24, Assumptions!$B$22*Assumptions!$B$23, 0)</f>
        <v>72828000</v>
      </c>
      <c r="I43" s="13">
        <f t="shared" si="2"/>
        <v>25777304.680010527</v>
      </c>
      <c r="J43" s="13">
        <f>I43/(1+((1+Assumptions!$B$28)^(1/12)-1))^(A43+0.5)</f>
        <v>18539063.925498415</v>
      </c>
    </row>
    <row r="44" spans="1:10" ht="14" x14ac:dyDescent="0.2">
      <c r="A44" s="10">
        <v>42</v>
      </c>
      <c r="B44" s="11">
        <v>125502.30789910301</v>
      </c>
      <c r="C44" s="11">
        <f xml:space="preserve"> B44 * EXP(-(Assumptions!$B$31 - 1) * 0.00421 * A44)</f>
        <v>125502.30789910301</v>
      </c>
      <c r="D44" s="12">
        <f t="shared" si="0"/>
        <v>3815270.1601327313</v>
      </c>
      <c r="E44" s="13">
        <f>D44*(Assumptions!$B$2*Assumptions!$B$8 + Assumptions!$B$3*Assumptions!$B$9 + Assumptions!$B$4*6*Assumptions!$B$10)</f>
        <v>154040769.66132703</v>
      </c>
      <c r="F44" s="13">
        <f>D44*(Assumptions!$B$14+Assumptions!$B$15+Assumptions!$B$16+Assumptions!$B$17+Assumptions!$B$18)</f>
        <v>55664791.63633655</v>
      </c>
      <c r="G44" s="13">
        <f t="shared" si="1"/>
        <v>98375978.024990484</v>
      </c>
      <c r="H44" s="14">
        <f>IF(A44&lt;Assumptions!$B$24, Assumptions!$B$22*Assumptions!$B$23, 0)</f>
        <v>72828000</v>
      </c>
      <c r="I44" s="13">
        <f t="shared" si="2"/>
        <v>25547978.024990484</v>
      </c>
      <c r="J44" s="13">
        <f>I44/(1+((1+Assumptions!$B$28)^(1/12)-1))^(A44+0.5)</f>
        <v>18228773.163294073</v>
      </c>
    </row>
    <row r="45" spans="1:10" ht="14" x14ac:dyDescent="0.2">
      <c r="A45" s="10">
        <v>43</v>
      </c>
      <c r="B45" s="11">
        <v>125219.28143831099</v>
      </c>
      <c r="C45" s="11">
        <f xml:space="preserve"> B45 * EXP(-(Assumptions!$B$31 - 1) * 0.00421 * A45)</f>
        <v>125219.28143831099</v>
      </c>
      <c r="D45" s="12">
        <f t="shared" si="0"/>
        <v>3806666.155724654</v>
      </c>
      <c r="E45" s="13">
        <f>D45*(Assumptions!$B$2*Assumptions!$B$8 + Assumptions!$B$3*Assumptions!$B$9 + Assumptions!$B$4*6*Assumptions!$B$10)</f>
        <v>153693384.70415178</v>
      </c>
      <c r="F45" s="13">
        <f>D45*(Assumptions!$B$14+Assumptions!$B$15+Assumptions!$B$16+Assumptions!$B$17+Assumptions!$B$18)</f>
        <v>55539259.212022699</v>
      </c>
      <c r="G45" s="13">
        <f t="shared" si="1"/>
        <v>98154125.492129087</v>
      </c>
      <c r="H45" s="14">
        <f>IF(A45&lt;Assumptions!$B$24, Assumptions!$B$22*Assumptions!$B$23, 0)</f>
        <v>72828000</v>
      </c>
      <c r="I45" s="13">
        <f t="shared" si="2"/>
        <v>25326125.492129087</v>
      </c>
      <c r="J45" s="13">
        <f>I45/(1+((1+Assumptions!$B$28)^(1/12)-1))^(A45+0.5)</f>
        <v>17927522.275325309</v>
      </c>
    </row>
    <row r="46" spans="1:10" ht="14" x14ac:dyDescent="0.2">
      <c r="A46" s="10">
        <v>44</v>
      </c>
      <c r="B46" s="11">
        <v>124945.481575489</v>
      </c>
      <c r="C46" s="11">
        <f xml:space="preserve"> B46 * EXP(-(Assumptions!$B$31 - 1) * 0.00421 * A46)</f>
        <v>124945.481575489</v>
      </c>
      <c r="D46" s="12">
        <f t="shared" si="0"/>
        <v>3798342.6398948655</v>
      </c>
      <c r="E46" s="13">
        <f>D46*(Assumptions!$B$2*Assumptions!$B$8 + Assumptions!$B$3*Assumptions!$B$9 + Assumptions!$B$4*6*Assumptions!$B$10)</f>
        <v>153357324.41722724</v>
      </c>
      <c r="F46" s="13">
        <f>D46*(Assumptions!$B$14+Assumptions!$B$15+Assumptions!$B$16+Assumptions!$B$17+Assumptions!$B$18)</f>
        <v>55417819.116066083</v>
      </c>
      <c r="G46" s="13">
        <f t="shared" si="1"/>
        <v>97939505.301161155</v>
      </c>
      <c r="H46" s="14">
        <f>IF(A46&lt;Assumptions!$B$24, Assumptions!$B$22*Assumptions!$B$23, 0)</f>
        <v>72828000</v>
      </c>
      <c r="I46" s="13">
        <f t="shared" si="2"/>
        <v>25111505.301161155</v>
      </c>
      <c r="J46" s="13">
        <f>I46/(1+((1+Assumptions!$B$28)^(1/12)-1))^(A46+0.5)</f>
        <v>17634976.002031822</v>
      </c>
    </row>
    <row r="47" spans="1:10" ht="14" x14ac:dyDescent="0.2">
      <c r="A47" s="10">
        <v>45</v>
      </c>
      <c r="B47" s="11">
        <v>124680.609982389</v>
      </c>
      <c r="C47" s="11">
        <f xml:space="preserve"> B47 * EXP(-(Assumptions!$B$31 - 1) * 0.00421 * A47)</f>
        <v>124680.609982389</v>
      </c>
      <c r="D47" s="12">
        <f t="shared" si="0"/>
        <v>3790290.5434646253</v>
      </c>
      <c r="E47" s="13">
        <f>D47*(Assumptions!$B$2*Assumptions!$B$8 + Assumptions!$B$3*Assumptions!$B$9 + Assumptions!$B$4*6*Assumptions!$B$10)</f>
        <v>153032222.63427559</v>
      </c>
      <c r="F47" s="13">
        <f>D47*(Assumptions!$B$14+Assumptions!$B$15+Assumptions!$B$16+Assumptions!$B$17+Assumptions!$B$18)</f>
        <v>55300339.029148884</v>
      </c>
      <c r="G47" s="13">
        <f t="shared" si="1"/>
        <v>97731883.605126709</v>
      </c>
      <c r="H47" s="14">
        <f>IF(A47&lt;Assumptions!$B$24, Assumptions!$B$22*Assumptions!$B$23, 0)</f>
        <v>72828000</v>
      </c>
      <c r="I47" s="13">
        <f t="shared" si="2"/>
        <v>24903883.605126709</v>
      </c>
      <c r="J47" s="13">
        <f>I47/(1+((1+Assumptions!$B$28)^(1/12)-1))^(A47+0.5)</f>
        <v>17350812.367451187</v>
      </c>
    </row>
    <row r="48" spans="1:10" ht="14" x14ac:dyDescent="0.2">
      <c r="A48" s="10">
        <v>46</v>
      </c>
      <c r="B48" s="11">
        <v>124424.37831451</v>
      </c>
      <c r="C48" s="11">
        <f xml:space="preserve"> B48 * EXP(-(Assumptions!$B$31 - 1) * 0.00421 * A48)</f>
        <v>124424.37831451</v>
      </c>
      <c r="D48" s="12">
        <f t="shared" si="0"/>
        <v>3782501.1007611039</v>
      </c>
      <c r="E48" s="13">
        <f>D48*(Assumptions!$B$2*Assumptions!$B$8 + Assumptions!$B$3*Assumptions!$B$9 + Assumptions!$B$4*6*Assumptions!$B$10)</f>
        <v>152717725.44300944</v>
      </c>
      <c r="F48" s="13">
        <f>D48*(Assumptions!$B$14+Assumptions!$B$15+Assumptions!$B$16+Assumptions!$B$17+Assumptions!$B$18)</f>
        <v>55186691.060104504</v>
      </c>
      <c r="G48" s="13">
        <f t="shared" si="1"/>
        <v>97531034.382904932</v>
      </c>
      <c r="H48" s="14">
        <f>IF(A48&lt;Assumptions!$B$24, Assumptions!$B$22*Assumptions!$B$23, 0)</f>
        <v>72828000</v>
      </c>
      <c r="I48" s="13">
        <f t="shared" si="2"/>
        <v>24703034.382904932</v>
      </c>
      <c r="J48" s="13">
        <f>I48/(1+((1+Assumptions!$B$28)^(1/12)-1))^(A48+0.5)</f>
        <v>17074722.2500684</v>
      </c>
    </row>
    <row r="49" spans="1:10" ht="14" x14ac:dyDescent="0.2">
      <c r="A49" s="10">
        <v>47</v>
      </c>
      <c r="B49" s="11">
        <v>124176.508033041</v>
      </c>
      <c r="C49" s="11">
        <f xml:space="preserve"> B49 * EXP(-(Assumptions!$B$31 - 1) * 0.00421 * A49)</f>
        <v>124176.508033041</v>
      </c>
      <c r="D49" s="12">
        <f t="shared" si="0"/>
        <v>3774965.8442044463</v>
      </c>
      <c r="E49" s="13">
        <f>D49*(Assumptions!$B$2*Assumptions!$B$8 + Assumptions!$B$3*Assumptions!$B$9 + Assumptions!$B$4*6*Assumptions!$B$10)</f>
        <v>152413490.9665857</v>
      </c>
      <c r="F49" s="13">
        <f>D49*(Assumptions!$B$14+Assumptions!$B$15+Assumptions!$B$16+Assumptions!$B$17+Assumptions!$B$18)</f>
        <v>55076751.666942872</v>
      </c>
      <c r="G49" s="13">
        <f t="shared" si="1"/>
        <v>97336739.299642831</v>
      </c>
      <c r="H49" s="14">
        <f>IF(A49&lt;Assumptions!$B$24, Assumptions!$B$22*Assumptions!$B$23, 0)</f>
        <v>72828000</v>
      </c>
      <c r="I49" s="13">
        <f t="shared" si="2"/>
        <v>24508739.299642831</v>
      </c>
      <c r="J49" s="13">
        <f>I49/(1+((1+Assumptions!$B$28)^(1/12)-1))^(A49+0.5)</f>
        <v>16806408.942391504</v>
      </c>
    </row>
    <row r="50" spans="1:10" ht="14" x14ac:dyDescent="0.2">
      <c r="A50" s="10">
        <v>48</v>
      </c>
      <c r="B50" s="11">
        <v>123936.730195422</v>
      </c>
      <c r="C50" s="11">
        <f xml:space="preserve"> B50 * EXP(-(Assumptions!$B$31 - 1) * 0.00421 * A50)</f>
        <v>123936.730195422</v>
      </c>
      <c r="D50" s="12">
        <f t="shared" si="0"/>
        <v>3767676.5979408287</v>
      </c>
      <c r="E50" s="13">
        <f>D50*(Assumptions!$B$2*Assumptions!$B$8 + Assumptions!$B$3*Assumptions!$B$9 + Assumptions!$B$4*6*Assumptions!$B$10)</f>
        <v>152119189.1065414</v>
      </c>
      <c r="F50" s="13">
        <f>D50*(Assumptions!$B$14+Assumptions!$B$15+Assumptions!$B$16+Assumptions!$B$17+Assumptions!$B$18)</f>
        <v>54970401.563956693</v>
      </c>
      <c r="G50" s="13">
        <f t="shared" si="1"/>
        <v>97148787.542584702</v>
      </c>
      <c r="H50" s="14">
        <f>IF(A50&lt;Assumptions!$B$24, Assumptions!$B$22*Assumptions!$B$23, 0)</f>
        <v>72828000</v>
      </c>
      <c r="I50" s="13">
        <f t="shared" si="2"/>
        <v>24320787.542584702</v>
      </c>
      <c r="J50" s="13">
        <f>I50/(1+((1+Assumptions!$B$28)^(1/12)-1))^(A50+0.5)</f>
        <v>16545587.705358654</v>
      </c>
    </row>
    <row r="51" spans="1:10" ht="14" x14ac:dyDescent="0.2">
      <c r="A51" s="10">
        <v>49</v>
      </c>
      <c r="B51" s="11">
        <v>123704.785222333</v>
      </c>
      <c r="C51" s="11">
        <f xml:space="preserve"> B51 * EXP(-(Assumptions!$B$31 - 1) * 0.00421 * A51)</f>
        <v>123704.785222333</v>
      </c>
      <c r="D51" s="12">
        <f t="shared" si="0"/>
        <v>3760625.4707589229</v>
      </c>
      <c r="E51" s="13">
        <f>D51*(Assumptions!$B$2*Assumptions!$B$8 + Assumptions!$B$3*Assumptions!$B$9 + Assumptions!$B$4*6*Assumptions!$B$10)</f>
        <v>151834501.25679737</v>
      </c>
      <c r="F51" s="13">
        <f>D51*(Assumptions!$B$14+Assumptions!$B$15+Assumptions!$B$16+Assumptions!$B$17+Assumptions!$B$18)</f>
        <v>54867525.618372686</v>
      </c>
      <c r="G51" s="13">
        <f t="shared" si="1"/>
        <v>96966975.638424695</v>
      </c>
      <c r="H51" s="14">
        <f>IF(A51&lt;Assumptions!$B$24, Assumptions!$B$22*Assumptions!$B$23, 0)</f>
        <v>72828000</v>
      </c>
      <c r="I51" s="13">
        <f t="shared" si="2"/>
        <v>24138975.638424695</v>
      </c>
      <c r="J51" s="13">
        <f>I51/(1+((1+Assumptions!$B$28)^(1/12)-1))^(A51+0.5)</f>
        <v>16291985.322389817</v>
      </c>
    </row>
    <row r="52" spans="1:10" ht="14" x14ac:dyDescent="0.2">
      <c r="A52" s="10">
        <v>50</v>
      </c>
      <c r="B52" s="11">
        <v>123480.422647511</v>
      </c>
      <c r="C52" s="11">
        <f xml:space="preserve"> B52 * EXP(-(Assumptions!$B$31 - 1) * 0.00421 * A52)</f>
        <v>123480.422647511</v>
      </c>
      <c r="D52" s="12">
        <f t="shared" si="0"/>
        <v>3753804.8484843345</v>
      </c>
      <c r="E52" s="13">
        <f>D52*(Assumptions!$B$2*Assumptions!$B$8 + Assumptions!$B$3*Assumptions!$B$9 + Assumptions!$B$4*6*Assumptions!$B$10)</f>
        <v>151559119.99658534</v>
      </c>
      <c r="F52" s="13">
        <f>D52*(Assumptions!$B$14+Assumptions!$B$15+Assumptions!$B$16+Assumptions!$B$17+Assumptions!$B$18)</f>
        <v>54768012.739386439</v>
      </c>
      <c r="G52" s="13">
        <f t="shared" si="1"/>
        <v>96791107.2571989</v>
      </c>
      <c r="H52" s="14">
        <f>IF(A52&lt;Assumptions!$B$24, Assumptions!$B$22*Assumptions!$B$23, 0)</f>
        <v>72828000</v>
      </c>
      <c r="I52" s="13">
        <f t="shared" si="2"/>
        <v>23963107.2571989</v>
      </c>
      <c r="J52" s="13">
        <f>I52/(1+((1+Assumptions!$B$28)^(1/12)-1))^(A52+0.5)</f>
        <v>16045339.656869695</v>
      </c>
    </row>
    <row r="53" spans="1:10" ht="14" x14ac:dyDescent="0.2">
      <c r="A53" s="10">
        <v>51</v>
      </c>
      <c r="B53" s="11">
        <v>123263.400855607</v>
      </c>
      <c r="C53" s="11">
        <f xml:space="preserve"> B53 * EXP(-(Assumptions!$B$31 - 1) * 0.00421 * A53)</f>
        <v>123263.400855607</v>
      </c>
      <c r="D53" s="12">
        <f t="shared" si="0"/>
        <v>3747207.3860104526</v>
      </c>
      <c r="E53" s="13">
        <f>D53*(Assumptions!$B$2*Assumptions!$B$8 + Assumptions!$B$3*Assumptions!$B$9 + Assumptions!$B$4*6*Assumptions!$B$10)</f>
        <v>151292748.76869485</v>
      </c>
      <c r="F53" s="13">
        <f>D53*(Assumptions!$B$14+Assumptions!$B$15+Assumptions!$B$16+Assumptions!$B$17+Assumptions!$B$18)</f>
        <v>54671755.761892505</v>
      </c>
      <c r="G53" s="13">
        <f t="shared" si="1"/>
        <v>96620993.00680235</v>
      </c>
      <c r="H53" s="14">
        <f>IF(A53&lt;Assumptions!$B$24, Assumptions!$B$22*Assumptions!$B$23, 0)</f>
        <v>72828000</v>
      </c>
      <c r="I53" s="13">
        <f t="shared" si="2"/>
        <v>23792993.00680235</v>
      </c>
      <c r="J53" s="13">
        <f>I53/(1+((1+Assumptions!$B$28)^(1/12)-1))^(A53+0.5)</f>
        <v>15805399.216000305</v>
      </c>
    </row>
    <row r="54" spans="1:10" ht="14" x14ac:dyDescent="0.2">
      <c r="A54" s="10">
        <v>52</v>
      </c>
      <c r="B54" s="11">
        <v>123053.486812337</v>
      </c>
      <c r="C54" s="11">
        <f xml:space="preserve"> B54 * EXP(-(Assumptions!$B$31 - 1) * 0.00421 * A54)</f>
        <v>123053.486812337</v>
      </c>
      <c r="D54" s="12">
        <f t="shared" si="0"/>
        <v>3740825.9990950446</v>
      </c>
      <c r="E54" s="13">
        <f>D54*(Assumptions!$B$2*Assumptions!$B$8 + Assumptions!$B$3*Assumptions!$B$9 + Assumptions!$B$4*6*Assumptions!$B$10)</f>
        <v>151035101.54826263</v>
      </c>
      <c r="F54" s="13">
        <f>D54*(Assumptions!$B$14+Assumptions!$B$15+Assumptions!$B$16+Assumptions!$B$17+Assumptions!$B$18)</f>
        <v>54578651.326796703</v>
      </c>
      <c r="G54" s="13">
        <f t="shared" si="1"/>
        <v>96456450.221465915</v>
      </c>
      <c r="H54" s="14">
        <f>IF(A54&lt;Assumptions!$B$24, Assumptions!$B$22*Assumptions!$B$23, 0)</f>
        <v>72828000</v>
      </c>
      <c r="I54" s="13">
        <f t="shared" si="2"/>
        <v>23628450.221465915</v>
      </c>
      <c r="J54" s="13">
        <f>I54/(1+((1+Assumptions!$B$28)^(1/12)-1))^(A54+0.5)</f>
        <v>15571922.723284643</v>
      </c>
    </row>
    <row r="55" spans="1:10" ht="14" x14ac:dyDescent="0.2">
      <c r="A55" s="10">
        <v>53</v>
      </c>
      <c r="B55" s="11">
        <v>122850.455790363</v>
      </c>
      <c r="C55" s="11">
        <f xml:space="preserve"> B55 * EXP(-(Assumptions!$B$31 - 1) * 0.00421 * A55)</f>
        <v>122850.455790363</v>
      </c>
      <c r="D55" s="12">
        <f t="shared" si="0"/>
        <v>3734653.856027035</v>
      </c>
      <c r="E55" s="13">
        <f>D55*(Assumptions!$B$2*Assumptions!$B$8 + Assumptions!$B$3*Assumptions!$B$9 + Assumptions!$B$4*6*Assumptions!$B$10)</f>
        <v>150785902.50632036</v>
      </c>
      <c r="F55" s="13">
        <f>D55*(Assumptions!$B$14+Assumptions!$B$15+Assumptions!$B$16+Assumptions!$B$17+Assumptions!$B$18)</f>
        <v>54488599.759434439</v>
      </c>
      <c r="G55" s="13">
        <f t="shared" si="1"/>
        <v>96297302.746885926</v>
      </c>
      <c r="H55" s="14">
        <f>IF(A55&lt;Assumptions!$B$24, Assumptions!$B$22*Assumptions!$B$23, 0)</f>
        <v>72828000</v>
      </c>
      <c r="I55" s="13">
        <f t="shared" si="2"/>
        <v>23469302.746885926</v>
      </c>
      <c r="J55" s="13">
        <f>I55/(1+((1+Assumptions!$B$28)^(1/12)-1))^(A55+0.5)</f>
        <v>15344678.701338351</v>
      </c>
    </row>
    <row r="56" spans="1:10" ht="14" x14ac:dyDescent="0.2">
      <c r="A56" s="10">
        <v>54</v>
      </c>
      <c r="B56" s="11">
        <v>122654.0910937</v>
      </c>
      <c r="C56" s="11">
        <f xml:space="preserve"> B56 * EXP(-(Assumptions!$B$31 - 1) * 0.00421 * A56)</f>
        <v>122654.0910937</v>
      </c>
      <c r="D56" s="12">
        <f t="shared" si="0"/>
        <v>3728684.3692484801</v>
      </c>
      <c r="E56" s="13">
        <f>D56*(Assumptions!$B$2*Assumptions!$B$8 + Assumptions!$B$3*Assumptions!$B$9 + Assumptions!$B$4*6*Assumptions!$B$10)</f>
        <v>150544885.67153355</v>
      </c>
      <c r="F56" s="13">
        <f>D56*(Assumptions!$B$14+Assumptions!$B$15+Assumptions!$B$16+Assumptions!$B$17+Assumptions!$B$18)</f>
        <v>54401504.947335325</v>
      </c>
      <c r="G56" s="13">
        <f t="shared" si="1"/>
        <v>96143380.724198222</v>
      </c>
      <c r="H56" s="14">
        <f>IF(A56&lt;Assumptions!$B$24, Assumptions!$B$22*Assumptions!$B$23, 0)</f>
        <v>72828000</v>
      </c>
      <c r="I56" s="13">
        <f t="shared" si="2"/>
        <v>23315380.724198222</v>
      </c>
      <c r="J56" s="13">
        <f>I56/(1+((1+Assumptions!$B$28)^(1/12)-1))^(A56+0.5)</f>
        <v>15123445.066288149</v>
      </c>
    </row>
    <row r="57" spans="1:10" ht="14" x14ac:dyDescent="0.2">
      <c r="A57" s="10">
        <v>55</v>
      </c>
      <c r="B57" s="11">
        <v>122464.183782878</v>
      </c>
      <c r="C57" s="11">
        <f xml:space="preserve"> B57 * EXP(-(Assumptions!$B$31 - 1) * 0.00421 * A57)</f>
        <v>122464.183782878</v>
      </c>
      <c r="D57" s="12">
        <f t="shared" si="0"/>
        <v>3722911.186999491</v>
      </c>
      <c r="E57" s="13">
        <f>D57*(Assumptions!$B$2*Assumptions!$B$8 + Assumptions!$B$3*Assumptions!$B$9 + Assumptions!$B$4*6*Assumptions!$B$10)</f>
        <v>150311794.59286708</v>
      </c>
      <c r="F57" s="13">
        <f>D57*(Assumptions!$B$14+Assumptions!$B$15+Assumptions!$B$16+Assumptions!$B$17+Assumptions!$B$18)</f>
        <v>54317274.218322575</v>
      </c>
      <c r="G57" s="13">
        <f t="shared" si="1"/>
        <v>95994520.374544501</v>
      </c>
      <c r="H57" s="14">
        <f>IF(A57&lt;Assumptions!$B$24, Assumptions!$B$22*Assumptions!$B$23, 0)</f>
        <v>72828000</v>
      </c>
      <c r="I57" s="13">
        <f t="shared" si="2"/>
        <v>23166520.374544501</v>
      </c>
      <c r="J57" s="13">
        <f>I57/(1+((1+Assumptions!$B$28)^(1/12)-1))^(A57+0.5)</f>
        <v>14908008.734641792</v>
      </c>
    </row>
    <row r="58" spans="1:10" ht="14" x14ac:dyDescent="0.2">
      <c r="A58" s="10">
        <v>56</v>
      </c>
      <c r="B58" s="11">
        <v>122280.532402657</v>
      </c>
      <c r="C58" s="11">
        <f xml:space="preserve"> B58 * EXP(-(Assumptions!$B$31 - 1) * 0.00421 * A58)</f>
        <v>122280.532402657</v>
      </c>
      <c r="D58" s="12">
        <f t="shared" si="0"/>
        <v>3717328.1850407729</v>
      </c>
      <c r="E58" s="13">
        <f>D58*(Assumptions!$B$2*Assumptions!$B$8 + Assumptions!$B$3*Assumptions!$B$9 + Assumptions!$B$4*6*Assumptions!$B$10)</f>
        <v>150086382.00538424</v>
      </c>
      <c r="F58" s="13">
        <f>D58*(Assumptions!$B$14+Assumptions!$B$15+Assumptions!$B$16+Assumptions!$B$17+Assumptions!$B$18)</f>
        <v>54235818.219744876</v>
      </c>
      <c r="G58" s="13">
        <f t="shared" si="1"/>
        <v>95850563.785639361</v>
      </c>
      <c r="H58" s="14">
        <f>IF(A58&lt;Assumptions!$B$24, Assumptions!$B$22*Assumptions!$B$23, 0)</f>
        <v>72828000</v>
      </c>
      <c r="I58" s="13">
        <f t="shared" si="2"/>
        <v>23022563.785639361</v>
      </c>
      <c r="J58" s="13">
        <f>I58/(1+((1+Assumptions!$B$28)^(1/12)-1))^(A58+0.5)</f>
        <v>14698165.243230462</v>
      </c>
    </row>
    <row r="59" spans="1:10" ht="14" x14ac:dyDescent="0.2">
      <c r="A59" s="10">
        <v>57</v>
      </c>
      <c r="B59" s="11">
        <v>122102.94271369099</v>
      </c>
      <c r="C59" s="11">
        <f xml:space="preserve"> B59 * EXP(-(Assumptions!$B$31 - 1) * 0.00421 * A59)</f>
        <v>122102.94271369099</v>
      </c>
      <c r="D59" s="12">
        <f t="shared" si="0"/>
        <v>3711929.458496206</v>
      </c>
      <c r="E59" s="13">
        <f>D59*(Assumptions!$B$2*Assumptions!$B$8 + Assumptions!$B$3*Assumptions!$B$9 + Assumptions!$B$4*6*Assumptions!$B$10)</f>
        <v>149868409.50089264</v>
      </c>
      <c r="F59" s="13">
        <f>D59*(Assumptions!$B$14+Assumptions!$B$15+Assumptions!$B$16+Assumptions!$B$17+Assumptions!$B$18)</f>
        <v>54157050.799459644</v>
      </c>
      <c r="G59" s="13">
        <f t="shared" si="1"/>
        <v>95711358.701433003</v>
      </c>
      <c r="H59" s="14">
        <f>IF(A59&lt;Assumptions!$B$24, Assumptions!$B$22*Assumptions!$B$23, 0)</f>
        <v>72828000</v>
      </c>
      <c r="I59" s="13">
        <f t="shared" si="2"/>
        <v>22883358.701433003</v>
      </c>
      <c r="J59" s="13">
        <f>I59/(1+((1+Assumptions!$B$28)^(1/12)-1))^(A59+0.5)</f>
        <v>14493718.382574961</v>
      </c>
    </row>
    <row r="60" spans="1:10" ht="14" x14ac:dyDescent="0.2">
      <c r="A60" s="10">
        <v>58</v>
      </c>
      <c r="B60" s="11">
        <v>121931.227429267</v>
      </c>
      <c r="C60" s="11">
        <f xml:space="preserve"> B60 * EXP(-(Assumptions!$B$31 - 1) * 0.00421 * A60)</f>
        <v>121931.227429267</v>
      </c>
      <c r="D60" s="12">
        <f t="shared" si="0"/>
        <v>3706709.3138497169</v>
      </c>
      <c r="E60" s="13">
        <f>D60*(Assumptions!$B$2*Assumptions!$B$8 + Assumptions!$B$3*Assumptions!$B$9 + Assumptions!$B$4*6*Assumptions!$B$10)</f>
        <v>149657647.20481959</v>
      </c>
      <c r="F60" s="13">
        <f>D60*(Assumptions!$B$14+Assumptions!$B$15+Assumptions!$B$16+Assumptions!$B$17+Assumptions!$B$18)</f>
        <v>54080888.889067367</v>
      </c>
      <c r="G60" s="13">
        <f t="shared" si="1"/>
        <v>95576758.315752223</v>
      </c>
      <c r="H60" s="14">
        <f>IF(A60&lt;Assumptions!$B$24, Assumptions!$B$22*Assumptions!$B$23, 0)</f>
        <v>72828000</v>
      </c>
      <c r="I60" s="13">
        <f t="shared" si="2"/>
        <v>22748758.315752223</v>
      </c>
      <c r="J60" s="13">
        <f>I60/(1+((1+Assumptions!$B$28)^(1/12)-1))^(A60+0.5)</f>
        <v>14294479.843857286</v>
      </c>
    </row>
    <row r="61" spans="1:10" ht="14" x14ac:dyDescent="0.2">
      <c r="A61" s="10">
        <v>59</v>
      </c>
      <c r="B61" s="11">
        <v>121765.205957944</v>
      </c>
      <c r="C61" s="11">
        <f xml:space="preserve"> B61 * EXP(-(Assumptions!$B$31 - 1) * 0.00421 * A61)</f>
        <v>121765.205957944</v>
      </c>
      <c r="D61" s="12">
        <f t="shared" si="0"/>
        <v>3701662.2611214975</v>
      </c>
      <c r="E61" s="13">
        <f>D61*(Assumptions!$B$2*Assumptions!$B$8 + Assumptions!$B$3*Assumptions!$B$9 + Assumptions!$B$4*6*Assumptions!$B$10)</f>
        <v>149453873.46032825</v>
      </c>
      <c r="F61" s="13">
        <f>D61*(Assumptions!$B$14+Assumptions!$B$15+Assumptions!$B$16+Assumptions!$B$17+Assumptions!$B$18)</f>
        <v>54007252.389762647</v>
      </c>
      <c r="G61" s="13">
        <f t="shared" si="1"/>
        <v>95446621.070565611</v>
      </c>
      <c r="H61" s="14">
        <f>IF(A61&lt;Assumptions!$B$24, Assumptions!$B$22*Assumptions!$B$23, 0)</f>
        <v>72828000</v>
      </c>
      <c r="I61" s="13">
        <f t="shared" si="2"/>
        <v>22618621.070565611</v>
      </c>
      <c r="J61" s="13">
        <f>I61/(1+((1+Assumptions!$B$28)^(1/12)-1))^(A61+0.5)</f>
        <v>14100268.879504932</v>
      </c>
    </row>
    <row r="62" spans="1:10" ht="14" x14ac:dyDescent="0.2">
      <c r="A62" s="10">
        <v>60</v>
      </c>
      <c r="B62" s="11">
        <v>121604.704152761</v>
      </c>
      <c r="C62" s="11">
        <f xml:space="preserve"> B62 * EXP(-(Assumptions!$B$31 - 1) * 0.00421 * A62)</f>
        <v>121604.704152761</v>
      </c>
      <c r="D62" s="12">
        <f t="shared" si="0"/>
        <v>3696783.0062439344</v>
      </c>
      <c r="E62" s="13">
        <f>D62*(Assumptions!$B$2*Assumptions!$B$8 + Assumptions!$B$3*Assumptions!$B$9 + Assumptions!$B$4*6*Assumptions!$B$10)</f>
        <v>149256874.52049762</v>
      </c>
      <c r="F62" s="13">
        <f>D62*(Assumptions!$B$14+Assumptions!$B$15+Assumptions!$B$16+Assumptions!$B$17+Assumptions!$B$18)</f>
        <v>53936064.061099</v>
      </c>
      <c r="G62" s="13">
        <f t="shared" si="1"/>
        <v>95320810.459398627</v>
      </c>
      <c r="H62" s="14">
        <f>IF(A62&lt;Assumptions!$B$24, Assumptions!$B$22*Assumptions!$B$23, 0)</f>
        <v>72828000</v>
      </c>
      <c r="I62" s="13">
        <f t="shared" si="2"/>
        <v>22492810.459398627</v>
      </c>
      <c r="J62" s="13">
        <f>I62/(1+((1+Assumptions!$B$28)^(1/12)-1))^(A62+0.5)</f>
        <v>13910911.977304755</v>
      </c>
    </row>
    <row r="63" spans="1:10" ht="14" x14ac:dyDescent="0.2">
      <c r="A63" s="10">
        <v>61</v>
      </c>
      <c r="B63" s="11">
        <v>121449.554067451</v>
      </c>
      <c r="C63" s="11">
        <f xml:space="preserve"> B63 * EXP(-(Assumptions!$B$31 - 1) * 0.00421 * A63)</f>
        <v>121449.554067451</v>
      </c>
      <c r="D63" s="12">
        <f t="shared" si="0"/>
        <v>3692066.4436505102</v>
      </c>
      <c r="E63" s="13">
        <f>D63*(Assumptions!$B$2*Assumptions!$B$8 + Assumptions!$B$3*Assumptions!$B$9 + Assumptions!$B$4*6*Assumptions!$B$10)</f>
        <v>149066444.24910066</v>
      </c>
      <c r="F63" s="13">
        <f>D63*(Assumptions!$B$14+Assumptions!$B$15+Assumptions!$B$16+Assumptions!$B$17+Assumptions!$B$18)</f>
        <v>53867249.412860945</v>
      </c>
      <c r="G63" s="13">
        <f t="shared" si="1"/>
        <v>95199194.83623971</v>
      </c>
      <c r="H63" s="14">
        <f>IF(A63&lt;Assumptions!$B$24, Assumptions!$B$22*Assumptions!$B$23, 0)</f>
        <v>72828000</v>
      </c>
      <c r="I63" s="13">
        <f t="shared" si="2"/>
        <v>22371194.83623971</v>
      </c>
      <c r="J63" s="13">
        <f>I63/(1+((1+Assumptions!$B$28)^(1/12)-1))^(A63+0.5)</f>
        <v>13726242.547839249</v>
      </c>
    </row>
    <row r="64" spans="1:10" ht="14" x14ac:dyDescent="0.2">
      <c r="A64" s="10">
        <v>62</v>
      </c>
      <c r="B64" s="11">
        <v>121299.593720003</v>
      </c>
      <c r="C64" s="11">
        <f xml:space="preserve"> B64 * EXP(-(Assumptions!$B$31 - 1) * 0.00421 * A64)</f>
        <v>121299.593720003</v>
      </c>
      <c r="D64" s="12">
        <f t="shared" si="0"/>
        <v>3687507.6490880912</v>
      </c>
      <c r="E64" s="13">
        <f>D64*(Assumptions!$B$2*Assumptions!$B$8 + Assumptions!$B$3*Assumptions!$B$9 + Assumptions!$B$4*6*Assumptions!$B$10)</f>
        <v>148882383.8304019</v>
      </c>
      <c r="F64" s="13">
        <f>D64*(Assumptions!$B$14+Assumptions!$B$15+Assumptions!$B$16+Assumptions!$B$17+Assumptions!$B$18)</f>
        <v>53800736.600195251</v>
      </c>
      <c r="G64" s="13">
        <f t="shared" si="1"/>
        <v>95081647.230206639</v>
      </c>
      <c r="H64" s="14">
        <f>IF(A64&lt;Assumptions!$B$24, Assumptions!$B$22*Assumptions!$B$23, 0)</f>
        <v>72828000</v>
      </c>
      <c r="I64" s="13">
        <f t="shared" si="2"/>
        <v>22253647.230206639</v>
      </c>
      <c r="J64" s="13">
        <f>I64/(1+((1+Assumptions!$B$28)^(1/12)-1))^(A64+0.5)</f>
        <v>13546100.624991292</v>
      </c>
    </row>
    <row r="65" spans="1:10" ht="14" x14ac:dyDescent="0.2">
      <c r="A65" s="10">
        <v>63</v>
      </c>
      <c r="B65" s="11">
        <v>121154.666863784</v>
      </c>
      <c r="C65" s="11">
        <f xml:space="preserve"> B65 * EXP(-(Assumptions!$B$31 - 1) * 0.00421 * A65)</f>
        <v>121154.666863784</v>
      </c>
      <c r="D65" s="12">
        <f t="shared" si="0"/>
        <v>3683101.8726590336</v>
      </c>
      <c r="E65" s="13">
        <f>D65*(Assumptions!$B$2*Assumptions!$B$8 + Assumptions!$B$3*Assumptions!$B$9 + Assumptions!$B$4*6*Assumptions!$B$10)</f>
        <v>148704501.48823398</v>
      </c>
      <c r="F65" s="13">
        <f>D65*(Assumptions!$B$14+Assumptions!$B$15+Assumptions!$B$16+Assumptions!$B$17+Assumptions!$B$18)</f>
        <v>53736456.322095297</v>
      </c>
      <c r="G65" s="13">
        <f t="shared" si="1"/>
        <v>94968045.166138679</v>
      </c>
      <c r="H65" s="14">
        <f>IF(A65&lt;Assumptions!$B$24, Assumptions!$B$22*Assumptions!$B$23, 0)</f>
        <v>72828000</v>
      </c>
      <c r="I65" s="13">
        <f t="shared" si="2"/>
        <v>22140045.166138679</v>
      </c>
      <c r="J65" s="13">
        <f>I65/(1+((1+Assumptions!$B$28)^(1/12)-1))^(A65+0.5)</f>
        <v>13370332.579200748</v>
      </c>
    </row>
    <row r="66" spans="1:10" ht="14" x14ac:dyDescent="0.2">
      <c r="A66" s="10">
        <v>64</v>
      </c>
      <c r="B66" s="11">
        <v>121014.62276631899</v>
      </c>
      <c r="C66" s="11">
        <f xml:space="preserve"> B66 * EXP(-(Assumptions!$B$31 - 1) * 0.00421 * A66)</f>
        <v>121014.62276631899</v>
      </c>
      <c r="D66" s="12">
        <f t="shared" si="0"/>
        <v>3678844.5320960972</v>
      </c>
      <c r="E66" s="13">
        <f>D66*(Assumptions!$B$2*Assumptions!$B$8 + Assumptions!$B$3*Assumptions!$B$9 + Assumptions!$B$4*6*Assumptions!$B$10)</f>
        <v>148532612.21447355</v>
      </c>
      <c r="F66" s="13">
        <f>D66*(Assumptions!$B$14+Assumptions!$B$15+Assumptions!$B$16+Assumptions!$B$17+Assumptions!$B$18)</f>
        <v>53674341.723282062</v>
      </c>
      <c r="G66" s="13">
        <f t="shared" si="1"/>
        <v>94858270.491191477</v>
      </c>
      <c r="H66" s="14">
        <f>IF(A66&lt;Assumptions!$B$24, Assumptions!$B$22*Assumptions!$B$23, 0)</f>
        <v>72828000</v>
      </c>
      <c r="I66" s="13">
        <f t="shared" si="2"/>
        <v>22030270.491191477</v>
      </c>
      <c r="J66" s="13">
        <f>I66/(1+((1+Assumptions!$B$28)^(1/12)-1))^(A66+0.5)</f>
        <v>13198790.84310732</v>
      </c>
    </row>
    <row r="67" spans="1:10" ht="14" x14ac:dyDescent="0.2">
      <c r="A67" s="10">
        <v>65</v>
      </c>
      <c r="B67" s="11">
        <v>120879.315995771</v>
      </c>
      <c r="C67" s="11">
        <f xml:space="preserve"> B67 * EXP(-(Assumptions!$B$31 - 1) * 0.00421 * A67)</f>
        <v>120879.315995771</v>
      </c>
      <c r="D67" s="12">
        <f t="shared" ref="D67:D130" si="3">C67*30.4</f>
        <v>3674731.2062714384</v>
      </c>
      <c r="E67" s="13">
        <f>D67*(Assumptions!$B$2*Assumptions!$B$8 + Assumptions!$B$3*Assumptions!$B$9 + Assumptions!$B$4*6*Assumptions!$B$10)</f>
        <v>148366537.50696811</v>
      </c>
      <c r="F67" s="13">
        <f>D67*(Assumptions!$B$14+Assumptions!$B$15+Assumptions!$B$16+Assumptions!$B$17+Assumptions!$B$18)</f>
        <v>53614328.299500287</v>
      </c>
      <c r="G67" s="13">
        <f t="shared" ref="G67:G130" si="4">E67-F67</f>
        <v>94752209.207467824</v>
      </c>
      <c r="H67" s="14">
        <f>IF(A67&lt;Assumptions!$B$24, Assumptions!$B$22*Assumptions!$B$23, 0)</f>
        <v>72828000</v>
      </c>
      <c r="I67" s="13">
        <f t="shared" ref="I67:I130" si="5">E67-F67-H67</f>
        <v>21924209.207467824</v>
      </c>
      <c r="J67" s="13">
        <f>I67/(1+((1+Assumptions!$B$28)^(1/12)-1))^(A67+0.5)</f>
        <v>13031333.649195561</v>
      </c>
    </row>
    <row r="68" spans="1:10" ht="14" x14ac:dyDescent="0.2">
      <c r="A68" s="10">
        <v>66</v>
      </c>
      <c r="B68" s="11">
        <v>120748.606215108</v>
      </c>
      <c r="C68" s="11">
        <f xml:space="preserve"> B68 * EXP(-(Assumptions!$B$31 - 1) * 0.00421 * A68)</f>
        <v>120748.606215108</v>
      </c>
      <c r="D68" s="12">
        <f t="shared" si="3"/>
        <v>3670757.6289392831</v>
      </c>
      <c r="E68" s="13">
        <f>D68*(Assumptions!$B$2*Assumptions!$B$8 + Assumptions!$B$3*Assumptions!$B$9 + Assumptions!$B$4*6*Assumptions!$B$10)</f>
        <v>148206105.11689779</v>
      </c>
      <c r="F68" s="13">
        <f>D68*(Assumptions!$B$14+Assumptions!$B$15+Assumptions!$B$16+Assumptions!$B$17+Assumptions!$B$18)</f>
        <v>53556353.806224138</v>
      </c>
      <c r="G68" s="13">
        <f t="shared" si="4"/>
        <v>94649751.310673654</v>
      </c>
      <c r="H68" s="14">
        <f>IF(A68&lt;Assumptions!$B$24, Assumptions!$B$22*Assumptions!$B$23, 0)</f>
        <v>72828000</v>
      </c>
      <c r="I68" s="13">
        <f t="shared" si="5"/>
        <v>21821751.310673654</v>
      </c>
      <c r="J68" s="13">
        <f>I68/(1+((1+Assumptions!$B$28)^(1/12)-1))^(A68+0.5)</f>
        <v>12867824.779041009</v>
      </c>
    </row>
    <row r="69" spans="1:10" ht="14" x14ac:dyDescent="0.2">
      <c r="A69" s="10">
        <v>67</v>
      </c>
      <c r="B69" s="11">
        <v>120622.35798386</v>
      </c>
      <c r="C69" s="11">
        <f xml:space="preserve"> B69 * EXP(-(Assumptions!$B$31 - 1) * 0.00421 * A69)</f>
        <v>120622.35798386</v>
      </c>
      <c r="D69" s="12">
        <f t="shared" si="3"/>
        <v>3666919.6827093437</v>
      </c>
      <c r="E69" s="13">
        <f>D69*(Assumptions!$B$2*Assumptions!$B$8 + Assumptions!$B$3*Assumptions!$B$9 + Assumptions!$B$4*6*Assumptions!$B$10)</f>
        <v>148051148.80545324</v>
      </c>
      <c r="F69" s="13">
        <f>D69*(Assumptions!$B$14+Assumptions!$B$15+Assumptions!$B$16+Assumptions!$B$17+Assumptions!$B$18)</f>
        <v>53500358.170729324</v>
      </c>
      <c r="G69" s="13">
        <f t="shared" si="4"/>
        <v>94550790.634723917</v>
      </c>
      <c r="H69" s="14">
        <f>IF(A69&lt;Assumptions!$B$24, Assumptions!$B$22*Assumptions!$B$23, 0)</f>
        <v>72828000</v>
      </c>
      <c r="I69" s="13">
        <f t="shared" si="5"/>
        <v>21722790.634723917</v>
      </c>
      <c r="J69" s="13">
        <f>I69/(1+((1+Assumptions!$B$28)^(1/12)-1))^(A69+0.5)</f>
        <v>12708133.323729141</v>
      </c>
    </row>
    <row r="70" spans="1:10" ht="14" x14ac:dyDescent="0.2">
      <c r="A70" s="10">
        <v>68</v>
      </c>
      <c r="B70" s="11">
        <v>120500.440567363</v>
      </c>
      <c r="C70" s="11">
        <f xml:space="preserve"> B70 * EXP(-(Assumptions!$B$31 - 1) * 0.00421 * A70)</f>
        <v>120500.440567363</v>
      </c>
      <c r="D70" s="12">
        <f t="shared" si="3"/>
        <v>3663213.3932478349</v>
      </c>
      <c r="E70" s="13">
        <f>D70*(Assumptions!$B$2*Assumptions!$B$8 + Assumptions!$B$3*Assumptions!$B$9 + Assumptions!$B$4*6*Assumptions!$B$10)</f>
        <v>147901508.10970271</v>
      </c>
      <c r="F70" s="13">
        <f>D70*(Assumptions!$B$14+Assumptions!$B$15+Assumptions!$B$16+Assumptions!$B$17+Assumptions!$B$18)</f>
        <v>53446283.40748591</v>
      </c>
      <c r="G70" s="13">
        <f t="shared" si="4"/>
        <v>94455224.702216804</v>
      </c>
      <c r="H70" s="14">
        <f>IF(A70&lt;Assumptions!$B$24, Assumptions!$B$22*Assumptions!$B$23, 0)</f>
        <v>72828000</v>
      </c>
      <c r="I70" s="13">
        <f t="shared" si="5"/>
        <v>21627224.702216804</v>
      </c>
      <c r="J70" s="13">
        <f>I70/(1+((1+Assumptions!$B$28)^(1/12)-1))^(A70+0.5)</f>
        <v>12552133.455027778</v>
      </c>
    </row>
    <row r="71" spans="1:10" ht="14" x14ac:dyDescent="0.2">
      <c r="A71" s="10">
        <v>69</v>
      </c>
      <c r="B71" s="11">
        <v>120382.727753343</v>
      </c>
      <c r="C71" s="11">
        <f xml:space="preserve"> B71 * EXP(-(Assumptions!$B$31 - 1) * 0.00421 * A71)</f>
        <v>120382.727753343</v>
      </c>
      <c r="D71" s="12">
        <f t="shared" si="3"/>
        <v>3659634.9237016272</v>
      </c>
      <c r="E71" s="13">
        <f>D71*(Assumptions!$B$2*Assumptions!$B$8 + Assumptions!$B$3*Assumptions!$B$9 + Assumptions!$B$4*6*Assumptions!$B$10)</f>
        <v>147757028.11746848</v>
      </c>
      <c r="F71" s="13">
        <f>D71*(Assumptions!$B$14+Assumptions!$B$15+Assumptions!$B$16+Assumptions!$B$17+Assumptions!$B$18)</f>
        <v>53394073.53680674</v>
      </c>
      <c r="G71" s="13">
        <f t="shared" si="4"/>
        <v>94362954.580661744</v>
      </c>
      <c r="H71" s="14">
        <f>IF(A71&lt;Assumptions!$B$24, Assumptions!$B$22*Assumptions!$B$23, 0)</f>
        <v>72828000</v>
      </c>
      <c r="I71" s="13">
        <f t="shared" si="5"/>
        <v>21534954.580661744</v>
      </c>
      <c r="J71" s="13">
        <f>I71/(1+((1+Assumptions!$B$28)^(1/12)-1))^(A71+0.5)</f>
        <v>12399704.20688718</v>
      </c>
    </row>
    <row r="72" spans="1:10" ht="14" x14ac:dyDescent="0.2">
      <c r="A72" s="10">
        <v>70</v>
      </c>
      <c r="B72" s="11">
        <v>120269.09767566501</v>
      </c>
      <c r="C72" s="11">
        <f xml:space="preserve"> B72 * EXP(-(Assumptions!$B$31 - 1) * 0.00421 * A72)</f>
        <v>120269.09767566501</v>
      </c>
      <c r="D72" s="12">
        <f t="shared" si="3"/>
        <v>3656180.569340216</v>
      </c>
      <c r="E72" s="13">
        <f>D72*(Assumptions!$B$2*Assumptions!$B$8 + Assumptions!$B$3*Assumptions!$B$9 + Assumptions!$B$4*6*Assumptions!$B$10)</f>
        <v>147617559.25099739</v>
      </c>
      <c r="F72" s="13">
        <f>D72*(Assumptions!$B$14+Assumptions!$B$15+Assumptions!$B$16+Assumptions!$B$17+Assumptions!$B$18)</f>
        <v>53343674.506673753</v>
      </c>
      <c r="G72" s="13">
        <f t="shared" si="4"/>
        <v>94273884.744323641</v>
      </c>
      <c r="H72" s="14">
        <f>IF(A72&lt;Assumptions!$B$24, Assumptions!$B$22*Assumptions!$B$23, 0)</f>
        <v>72828000</v>
      </c>
      <c r="I72" s="13">
        <f t="shared" si="5"/>
        <v>21445884.744323641</v>
      </c>
      <c r="J72" s="13">
        <f>I72/(1+((1+Assumptions!$B$28)^(1/12)-1))^(A72+0.5)</f>
        <v>12250729.26684238</v>
      </c>
    </row>
    <row r="73" spans="1:10" ht="14" x14ac:dyDescent="0.2">
      <c r="A73" s="10">
        <v>71</v>
      </c>
      <c r="B73" s="11">
        <v>120159.432645056</v>
      </c>
      <c r="C73" s="11">
        <f xml:space="preserve"> B73 * EXP(-(Assumptions!$B$31 - 1) * 0.00421 * A73)</f>
        <v>120159.432645056</v>
      </c>
      <c r="D73" s="12">
        <f t="shared" si="3"/>
        <v>3652846.7524097022</v>
      </c>
      <c r="E73" s="13">
        <f>D73*(Assumptions!$B$2*Assumptions!$B$8 + Assumptions!$B$3*Assumptions!$B$9 + Assumptions!$B$4*6*Assumptions!$B$10)</f>
        <v>147482957.05919126</v>
      </c>
      <c r="F73" s="13">
        <f>D73*(Assumptions!$B$14+Assumptions!$B$15+Assumptions!$B$16+Assumptions!$B$17+Assumptions!$B$18)</f>
        <v>53295034.117657557</v>
      </c>
      <c r="G73" s="13">
        <f t="shared" si="4"/>
        <v>94187922.9415337</v>
      </c>
      <c r="H73" s="14">
        <f>IF(A73&lt;Assumptions!$B$24, Assumptions!$B$22*Assumptions!$B$23, 0)</f>
        <v>72828000</v>
      </c>
      <c r="I73" s="13">
        <f t="shared" si="5"/>
        <v>21359922.9415337</v>
      </c>
      <c r="J73" s="13">
        <f>I73/(1+((1+Assumptions!$B$28)^(1/12)-1))^(A73+0.5)</f>
        <v>12105096.776899284</v>
      </c>
    </row>
    <row r="74" spans="1:10" ht="14" x14ac:dyDescent="0.2">
      <c r="A74" s="10">
        <v>72</v>
      </c>
      <c r="B74" s="11">
        <v>120053.61898661499</v>
      </c>
      <c r="C74" s="11">
        <f xml:space="preserve"> B74 * EXP(-(Assumptions!$B$31 - 1) * 0.00421 * A74)</f>
        <v>120053.61898661499</v>
      </c>
      <c r="D74" s="12">
        <f t="shared" si="3"/>
        <v>3649630.0171930958</v>
      </c>
      <c r="E74" s="13">
        <f>D74*(Assumptions!$B$2*Assumptions!$B$8 + Assumptions!$B$3*Assumptions!$B$9 + Assumptions!$B$4*6*Assumptions!$B$10)</f>
        <v>147353082.01816782</v>
      </c>
      <c r="F74" s="13">
        <f>D74*(Assumptions!$B$14+Assumptions!$B$15+Assumptions!$B$16+Assumptions!$B$17+Assumptions!$B$18)</f>
        <v>53248101.950847268</v>
      </c>
      <c r="G74" s="13">
        <f t="shared" si="4"/>
        <v>94104980.067320555</v>
      </c>
      <c r="H74" s="14">
        <f>IF(A74&lt;Assumptions!$B$24, Assumptions!$B$22*Assumptions!$B$23, 0)</f>
        <v>72828000</v>
      </c>
      <c r="I74" s="13">
        <f t="shared" si="5"/>
        <v>21276980.067320555</v>
      </c>
      <c r="J74" s="13">
        <f>I74/(1+((1+Assumptions!$B$28)^(1/12)-1))^(A74+0.5)</f>
        <v>11962699.143502126</v>
      </c>
    </row>
    <row r="75" spans="1:10" ht="14" x14ac:dyDescent="0.2">
      <c r="A75" s="10">
        <v>73</v>
      </c>
      <c r="B75" s="11">
        <v>119951.54688387499</v>
      </c>
      <c r="C75" s="11">
        <f xml:space="preserve"> B75 * EXP(-(Assumptions!$B$31 - 1) * 0.00421 * A75)</f>
        <v>119951.54688387499</v>
      </c>
      <c r="D75" s="12">
        <f t="shared" si="3"/>
        <v>3646527.0252697999</v>
      </c>
      <c r="E75" s="13">
        <f>D75*(Assumptions!$B$2*Assumptions!$B$8 + Assumptions!$B$3*Assumptions!$B$9 + Assumptions!$B$4*6*Assumptions!$B$10)</f>
        <v>147227799.33986315</v>
      </c>
      <c r="F75" s="13">
        <f>D75*(Assumptions!$B$14+Assumptions!$B$15+Assumptions!$B$16+Assumptions!$B$17+Assumptions!$B$18)</f>
        <v>53202829.298686378</v>
      </c>
      <c r="G75" s="13">
        <f t="shared" si="4"/>
        <v>94024970.041176766</v>
      </c>
      <c r="H75" s="14">
        <f>IF(A75&lt;Assumptions!$B$24, Assumptions!$B$22*Assumptions!$B$23, 0)</f>
        <v>72828000</v>
      </c>
      <c r="I75" s="13">
        <f t="shared" si="5"/>
        <v>21196970.041176766</v>
      </c>
      <c r="J75" s="13">
        <f>I75/(1+((1+Assumptions!$B$28)^(1/12)-1))^(A75+0.5)</f>
        <v>11823432.856171601</v>
      </c>
    </row>
    <row r="76" spans="1:10" ht="14" x14ac:dyDescent="0.2">
      <c r="A76" s="10">
        <v>74</v>
      </c>
      <c r="B76" s="11">
        <v>119853.110229217</v>
      </c>
      <c r="C76" s="11">
        <f xml:space="preserve"> B76 * EXP(-(Assumptions!$B$31 - 1) * 0.00421 * A76)</f>
        <v>119853.110229217</v>
      </c>
      <c r="D76" s="12">
        <f t="shared" si="3"/>
        <v>3643534.5509681967</v>
      </c>
      <c r="E76" s="13">
        <f>D76*(Assumptions!$B$2*Assumptions!$B$8 + Assumptions!$B$3*Assumptions!$B$9 + Assumptions!$B$4*6*Assumptions!$B$10)</f>
        <v>147106978.78843078</v>
      </c>
      <c r="F76" s="13">
        <f>D76*(Assumptions!$B$14+Assumptions!$B$15+Assumptions!$B$16+Assumptions!$B$17+Assumptions!$B$18)</f>
        <v>53159169.098625988</v>
      </c>
      <c r="G76" s="13">
        <f t="shared" si="4"/>
        <v>93947809.689804792</v>
      </c>
      <c r="H76" s="14">
        <f>IF(A76&lt;Assumptions!$B$24, Assumptions!$B$22*Assumptions!$B$23, 0)</f>
        <v>72828000</v>
      </c>
      <c r="I76" s="13">
        <f t="shared" si="5"/>
        <v>21119809.689804792</v>
      </c>
      <c r="J76" s="13">
        <f>I76/(1+((1+Assumptions!$B$28)^(1/12)-1))^(A76+0.5)</f>
        <v>11687198.314433752</v>
      </c>
    </row>
    <row r="77" spans="1:10" ht="14" x14ac:dyDescent="0.2">
      <c r="A77" s="10">
        <v>75</v>
      </c>
      <c r="B77" s="11">
        <v>119758.206480419</v>
      </c>
      <c r="C77" s="11">
        <f xml:space="preserve"> B77 * EXP(-(Assumptions!$B$31 - 1) * 0.00421 * A77)</f>
        <v>119758.206480419</v>
      </c>
      <c r="D77" s="12">
        <f t="shared" si="3"/>
        <v>3640649.4770047376</v>
      </c>
      <c r="E77" s="13">
        <f>D77*(Assumptions!$B$2*Assumptions!$B$8 + Assumptions!$B$3*Assumptions!$B$9 + Assumptions!$B$4*6*Assumptions!$B$10)</f>
        <v>146990494.50417089</v>
      </c>
      <c r="F77" s="13">
        <f>D77*(Assumptions!$B$14+Assumptions!$B$15+Assumptions!$B$16+Assumptions!$B$17+Assumptions!$B$18)</f>
        <v>53117075.869499125</v>
      </c>
      <c r="G77" s="13">
        <f t="shared" si="4"/>
        <v>93873418.634671777</v>
      </c>
      <c r="H77" s="14">
        <f>IF(A77&lt;Assumptions!$B$24, Assumptions!$B$22*Assumptions!$B$23, 0)</f>
        <v>72828000</v>
      </c>
      <c r="I77" s="13">
        <f t="shared" si="5"/>
        <v>21045418.634671777</v>
      </c>
      <c r="J77" s="13">
        <f>I77/(1+((1+Assumptions!$B$28)^(1/12)-1))^(A77+0.5)</f>
        <v>11553899.662664557</v>
      </c>
    </row>
    <row r="78" spans="1:10" ht="14" x14ac:dyDescent="0.2">
      <c r="A78" s="10">
        <v>76</v>
      </c>
      <c r="B78" s="11">
        <v>119666.73652309801</v>
      </c>
      <c r="C78" s="11">
        <f xml:space="preserve"> B78 * EXP(-(Assumptions!$B$31 - 1) * 0.00421 * A78)</f>
        <v>119666.73652309801</v>
      </c>
      <c r="D78" s="12">
        <f t="shared" si="3"/>
        <v>3637868.7903021793</v>
      </c>
      <c r="E78" s="13">
        <f>D78*(Assumptions!$B$2*Assumptions!$B$8 + Assumptions!$B$3*Assumptions!$B$9 + Assumptions!$B$4*6*Assumptions!$B$10)</f>
        <v>146878224.83469245</v>
      </c>
      <c r="F78" s="13">
        <f>D78*(Assumptions!$B$14+Assumptions!$B$15+Assumptions!$B$16+Assumptions!$B$17+Assumptions!$B$18)</f>
        <v>53076505.650508799</v>
      </c>
      <c r="G78" s="13">
        <f t="shared" si="4"/>
        <v>93801719.184183657</v>
      </c>
      <c r="H78" s="14">
        <f>IF(A78&lt;Assumptions!$B$24, Assumptions!$B$22*Assumptions!$B$23, 0)</f>
        <v>72828000</v>
      </c>
      <c r="I78" s="13">
        <f t="shared" si="5"/>
        <v>20973719.184183657</v>
      </c>
      <c r="J78" s="13">
        <f>I78/(1+((1+Assumptions!$B$28)^(1/12)-1))^(A78+0.5)</f>
        <v>11423444.632478157</v>
      </c>
    </row>
    <row r="79" spans="1:10" ht="14" x14ac:dyDescent="0.2">
      <c r="A79" s="10">
        <v>77</v>
      </c>
      <c r="B79" s="11">
        <v>119578.604538846</v>
      </c>
      <c r="C79" s="11">
        <f xml:space="preserve"> B79 * EXP(-(Assumptions!$B$31 - 1) * 0.00421 * A79)</f>
        <v>119578.604538846</v>
      </c>
      <c r="D79" s="12">
        <f t="shared" si="3"/>
        <v>3635189.5779809183</v>
      </c>
      <c r="E79" s="13">
        <f>D79*(Assumptions!$B$2*Assumptions!$B$8 + Assumptions!$B$3*Assumptions!$B$9 + Assumptions!$B$4*6*Assumptions!$B$10)</f>
        <v>146770052.17306402</v>
      </c>
      <c r="F79" s="13">
        <f>D79*(Assumptions!$B$14+Assumptions!$B$15+Assumptions!$B$16+Assumptions!$B$17+Assumptions!$B$18)</f>
        <v>53037415.942741595</v>
      </c>
      <c r="G79" s="13">
        <f t="shared" si="4"/>
        <v>93732636.230322421</v>
      </c>
      <c r="H79" s="14">
        <f>IF(A79&lt;Assumptions!$B$24, Assumptions!$B$22*Assumptions!$B$23, 0)</f>
        <v>72828000</v>
      </c>
      <c r="I79" s="13">
        <f t="shared" si="5"/>
        <v>20904636.230322421</v>
      </c>
      <c r="J79" s="13">
        <f>I79/(1+((1+Assumptions!$B$28)^(1/12)-1))^(A79+0.5)</f>
        <v>11295744.392318234</v>
      </c>
    </row>
    <row r="80" spans="1:10" ht="14" x14ac:dyDescent="0.2">
      <c r="A80" s="10">
        <v>78</v>
      </c>
      <c r="B80" s="11">
        <v>119493.717878832</v>
      </c>
      <c r="C80" s="11">
        <f xml:space="preserve"> B80 * EXP(-(Assumptions!$B$31 - 1) * 0.00421 * A80)</f>
        <v>119493.717878832</v>
      </c>
      <c r="D80" s="12">
        <f t="shared" si="3"/>
        <v>3632609.0235164925</v>
      </c>
      <c r="E80" s="13">
        <f>D80*(Assumptions!$B$2*Assumptions!$B$8 + Assumptions!$B$3*Assumptions!$B$9 + Assumptions!$B$4*6*Assumptions!$B$10)</f>
        <v>146665862.8026737</v>
      </c>
      <c r="F80" s="13">
        <f>D80*(Assumptions!$B$14+Assumptions!$B$15+Assumptions!$B$16+Assumptions!$B$17+Assumptions!$B$18)</f>
        <v>52999765.653105624</v>
      </c>
      <c r="G80" s="13">
        <f t="shared" si="4"/>
        <v>93666097.149568081</v>
      </c>
      <c r="H80" s="14">
        <f>IF(A80&lt;Assumptions!$B$24, Assumptions!$B$22*Assumptions!$B$23, 0)</f>
        <v>72828000</v>
      </c>
      <c r="I80" s="13">
        <f t="shared" si="5"/>
        <v>20838097.149568081</v>
      </c>
      <c r="J80" s="13">
        <f>I80/(1+((1+Assumptions!$B$28)^(1/12)-1))^(A80+0.5)</f>
        <v>11170713.403912077</v>
      </c>
    </row>
    <row r="81" spans="1:10" ht="14" x14ac:dyDescent="0.2">
      <c r="A81" s="10">
        <v>79</v>
      </c>
      <c r="B81" s="11">
        <v>119411.986942658</v>
      </c>
      <c r="C81" s="11">
        <f xml:space="preserve"> B81 * EXP(-(Assumptions!$B$31 - 1) * 0.00421 * A81)</f>
        <v>119411.986942658</v>
      </c>
      <c r="D81" s="12">
        <f t="shared" si="3"/>
        <v>3630124.4030568032</v>
      </c>
      <c r="E81" s="13">
        <f>D81*(Assumptions!$B$2*Assumptions!$B$8 + Assumptions!$B$3*Assumptions!$B$9 + Assumptions!$B$4*6*Assumptions!$B$10)</f>
        <v>146565546.74853784</v>
      </c>
      <c r="F81" s="13">
        <f>D81*(Assumptions!$B$14+Assumptions!$B$15+Assumptions!$B$16+Assumptions!$B$17+Assumptions!$B$18)</f>
        <v>52963515.040598758</v>
      </c>
      <c r="G81" s="13">
        <f t="shared" si="4"/>
        <v>93602031.707939088</v>
      </c>
      <c r="H81" s="14">
        <f>IF(A81&lt;Assumptions!$B$24, Assumptions!$B$22*Assumptions!$B$23, 0)</f>
        <v>72828000</v>
      </c>
      <c r="I81" s="13">
        <f t="shared" si="5"/>
        <v>20774031.707939088</v>
      </c>
      <c r="J81" s="13">
        <f>I81/(1+((1+Assumptions!$B$28)^(1/12)-1))^(A81+0.5)</f>
        <v>11048269.285265744</v>
      </c>
    </row>
    <row r="82" spans="1:10" ht="14" x14ac:dyDescent="0.2">
      <c r="A82" s="10">
        <v>80</v>
      </c>
      <c r="B82" s="11">
        <v>119333.32506225001</v>
      </c>
      <c r="C82" s="11">
        <f xml:space="preserve"> B82 * EXP(-(Assumptions!$B$31 - 1) * 0.00421 * A82)</f>
        <v>119333.32506225001</v>
      </c>
      <c r="D82" s="12">
        <f t="shared" si="3"/>
        <v>3627733.0818924</v>
      </c>
      <c r="E82" s="13">
        <f>D82*(Assumptions!$B$2*Assumptions!$B$8 + Assumptions!$B$3*Assumptions!$B$9 + Assumptions!$B$4*6*Assumptions!$B$10)</f>
        <v>146468997.63478929</v>
      </c>
      <c r="F82" s="13">
        <f>D82*(Assumptions!$B$14+Assumptions!$B$15+Assumptions!$B$16+Assumptions!$B$17+Assumptions!$B$18)</f>
        <v>52928625.664810114</v>
      </c>
      <c r="G82" s="13">
        <f t="shared" si="4"/>
        <v>93540371.969979167</v>
      </c>
      <c r="H82" s="14">
        <f>IF(A82&lt;Assumptions!$B$24, Assumptions!$B$22*Assumptions!$B$23, 0)</f>
        <v>72828000</v>
      </c>
      <c r="I82" s="13">
        <f t="shared" si="5"/>
        <v>20712371.969979167</v>
      </c>
      <c r="J82" s="13">
        <f>I82/(1+((1+Assumptions!$B$28)^(1/12)-1))^(A82+0.5)</f>
        <v>10928332.679887427</v>
      </c>
    </row>
    <row r="83" spans="1:10" ht="14" x14ac:dyDescent="0.2">
      <c r="A83" s="10">
        <v>81</v>
      </c>
      <c r="B83" s="11">
        <v>119257.648390596</v>
      </c>
      <c r="C83" s="11">
        <f xml:space="preserve"> B83 * EXP(-(Assumptions!$B$31 - 1) * 0.00421 * A83)</f>
        <v>119257.648390596</v>
      </c>
      <c r="D83" s="12">
        <f t="shared" si="3"/>
        <v>3625432.5110741183</v>
      </c>
      <c r="E83" s="13">
        <f>D83*(Assumptions!$B$2*Assumptions!$B$8 + Assumptions!$B$3*Assumptions!$B$9 + Assumptions!$B$4*6*Assumptions!$B$10)</f>
        <v>146376112.54811534</v>
      </c>
      <c r="F83" s="13">
        <f>D83*(Assumptions!$B$14+Assumptions!$B$15+Assumptions!$B$16+Assumptions!$B$17+Assumptions!$B$18)</f>
        <v>52895060.336571388</v>
      </c>
      <c r="G83" s="13">
        <f t="shared" si="4"/>
        <v>93481052.211543947</v>
      </c>
      <c r="H83" s="14">
        <f>IF(A83&lt;Assumptions!$B$24, Assumptions!$B$22*Assumptions!$B$23, 0)</f>
        <v>72828000</v>
      </c>
      <c r="I83" s="13">
        <f t="shared" si="5"/>
        <v>20653052.211543947</v>
      </c>
      <c r="J83" s="13">
        <f>I83/(1+((1+Assumptions!$B$28)^(1/12)-1))^(A83+0.5)</f>
        <v>10810827.131950853</v>
      </c>
    </row>
    <row r="84" spans="1:10" ht="14" x14ac:dyDescent="0.2">
      <c r="A84" s="10">
        <v>82</v>
      </c>
      <c r="B84" s="11">
        <v>119184.875795117</v>
      </c>
      <c r="C84" s="11">
        <f xml:space="preserve"> B84 * EXP(-(Assumptions!$B$31 - 1) * 0.00421 * A84)</f>
        <v>119184.875795117</v>
      </c>
      <c r="D84" s="12">
        <f t="shared" si="3"/>
        <v>3623220.2241715565</v>
      </c>
      <c r="E84" s="13">
        <f>D84*(Assumptions!$B$2*Assumptions!$B$8 + Assumptions!$B$3*Assumptions!$B$9 + Assumptions!$B$4*6*Assumptions!$B$10)</f>
        <v>146286791.90688178</v>
      </c>
      <c r="F84" s="13">
        <f>D84*(Assumptions!$B$14+Assumptions!$B$15+Assumptions!$B$16+Assumptions!$B$17+Assumptions!$B$18)</f>
        <v>52862783.070663013</v>
      </c>
      <c r="G84" s="13">
        <f t="shared" si="4"/>
        <v>93424008.836218774</v>
      </c>
      <c r="H84" s="14">
        <f>IF(A84&lt;Assumptions!$B$24, Assumptions!$B$22*Assumptions!$B$23, 0)</f>
        <v>72828000</v>
      </c>
      <c r="I84" s="13">
        <f t="shared" si="5"/>
        <v>20596008.836218774</v>
      </c>
      <c r="J84" s="13">
        <f>I84/(1+((1+Assumptions!$B$28)^(1/12)-1))^(A84+0.5)</f>
        <v>10695678.96710954</v>
      </c>
    </row>
    <row r="85" spans="1:10" ht="14" x14ac:dyDescent="0.2">
      <c r="A85" s="10">
        <v>83</v>
      </c>
      <c r="B85" s="11">
        <v>119114.92875547599</v>
      </c>
      <c r="C85" s="11">
        <f xml:space="preserve"> B85 * EXP(-(Assumptions!$B$31 - 1) * 0.00421 * A85)</f>
        <v>119114.92875547599</v>
      </c>
      <c r="D85" s="12">
        <f t="shared" si="3"/>
        <v>3621093.83416647</v>
      </c>
      <c r="E85" s="13">
        <f>D85*(Assumptions!$B$2*Assumptions!$B$8 + Assumptions!$B$3*Assumptions!$B$9 + Assumptions!$B$4*6*Assumptions!$B$10)</f>
        <v>146200939.33570442</v>
      </c>
      <c r="F85" s="13">
        <f>D85*(Assumptions!$B$14+Assumptions!$B$15+Assumptions!$B$16+Assumptions!$B$17+Assumptions!$B$18)</f>
        <v>52831759.040488794</v>
      </c>
      <c r="G85" s="13">
        <f t="shared" si="4"/>
        <v>93369180.295215622</v>
      </c>
      <c r="H85" s="14">
        <f>IF(A85&lt;Assumptions!$B$24, Assumptions!$B$22*Assumptions!$B$23, 0)</f>
        <v>72828000</v>
      </c>
      <c r="I85" s="13">
        <f t="shared" si="5"/>
        <v>20541180.295215622</v>
      </c>
      <c r="J85" s="13">
        <f>I85/(1+((1+Assumptions!$B$28)^(1/12)-1))^(A85+0.5)</f>
        <v>10582817.178692061</v>
      </c>
    </row>
    <row r="86" spans="1:10" ht="14" x14ac:dyDescent="0.2">
      <c r="A86" s="10">
        <v>84</v>
      </c>
      <c r="B86" s="11">
        <v>119047.731265653</v>
      </c>
      <c r="C86" s="11">
        <f xml:space="preserve"> B86 * EXP(-(Assumptions!$B$31 - 1) * 0.00421 * A86)</f>
        <v>119047.731265653</v>
      </c>
      <c r="D86" s="12">
        <f t="shared" si="3"/>
        <v>3619051.0304758511</v>
      </c>
      <c r="E86" s="13">
        <f>D86*(Assumptions!$B$2*Assumptions!$B$8 + Assumptions!$B$3*Assumptions!$B$9 + Assumptions!$B$4*6*Assumptions!$B$10)</f>
        <v>146118461.54525644</v>
      </c>
      <c r="F86" s="13">
        <f>D86*(Assumptions!$B$14+Assumptions!$B$15+Assumptions!$B$16+Assumptions!$B$17+Assumptions!$B$18)</f>
        <v>52801954.534642667</v>
      </c>
      <c r="G86" s="13">
        <f t="shared" si="4"/>
        <v>93316507.010613769</v>
      </c>
      <c r="H86" s="14">
        <f>IF(A86&lt;Assumptions!$B$24, Assumptions!$B$22*Assumptions!$B$23, 0)</f>
        <v>72828000</v>
      </c>
      <c r="I86" s="13">
        <f t="shared" si="5"/>
        <v>20488507.010613769</v>
      </c>
      <c r="J86" s="13">
        <f>I86/(1+((1+Assumptions!$B$28)^(1/12)-1))^(A86+0.5)</f>
        <v>10472173.319026854</v>
      </c>
    </row>
    <row r="87" spans="1:10" ht="14" x14ac:dyDescent="0.2">
      <c r="A87" s="10">
        <v>85</v>
      </c>
      <c r="B87" s="11">
        <v>118983.20974008599</v>
      </c>
      <c r="C87" s="11">
        <f xml:space="preserve"> B87 * EXP(-(Assumptions!$B$31 - 1) * 0.00421 * A87)</f>
        <v>118983.20974008599</v>
      </c>
      <c r="D87" s="12">
        <f t="shared" si="3"/>
        <v>3617089.5760986139</v>
      </c>
      <c r="E87" s="13">
        <f>D87*(Assumptions!$B$2*Assumptions!$B$8 + Assumptions!$B$3*Assumptions!$B$9 + Assumptions!$B$4*6*Assumptions!$B$10)</f>
        <v>146039268.21706635</v>
      </c>
      <c r="F87" s="13">
        <f>D87*(Assumptions!$B$14+Assumptions!$B$15+Assumptions!$B$16+Assumptions!$B$17+Assumptions!$B$18)</f>
        <v>52773336.915278777</v>
      </c>
      <c r="G87" s="13">
        <f t="shared" si="4"/>
        <v>93265931.30178757</v>
      </c>
      <c r="H87" s="14">
        <f>IF(A87&lt;Assumptions!$B$24, Assumptions!$B$22*Assumptions!$B$23, 0)</f>
        <v>72828000</v>
      </c>
      <c r="I87" s="13">
        <f t="shared" si="5"/>
        <v>20437931.30178757</v>
      </c>
      <c r="J87" s="13">
        <f>I87/(1+((1+Assumptions!$B$28)^(1/12)-1))^(A87+0.5)</f>
        <v>10363681.395643549</v>
      </c>
    </row>
    <row r="88" spans="1:10" ht="14" x14ac:dyDescent="0.2">
      <c r="A88" s="10">
        <v>86</v>
      </c>
      <c r="B88" s="11">
        <v>118920.494762781</v>
      </c>
      <c r="C88" s="11">
        <f xml:space="preserve"> B88 * EXP(-(Assumptions!$B$31 - 1) * 0.00421 * A88)</f>
        <v>118920.494762781</v>
      </c>
      <c r="D88" s="12">
        <f t="shared" si="3"/>
        <v>3615183.0407885425</v>
      </c>
      <c r="E88" s="13">
        <f>D88*(Assumptions!$B$2*Assumptions!$B$8 + Assumptions!$B$3*Assumptions!$B$9 + Assumptions!$B$4*6*Assumptions!$B$10)</f>
        <v>145962292.23522928</v>
      </c>
      <c r="F88" s="13">
        <f>D88*(Assumptions!$B$14+Assumptions!$B$15+Assumptions!$B$16+Assumptions!$B$17+Assumptions!$B$18)</f>
        <v>52745520.565104835</v>
      </c>
      <c r="G88" s="13">
        <f t="shared" si="4"/>
        <v>93216771.670124441</v>
      </c>
      <c r="H88" s="14">
        <f>IF(A88&lt;Assumptions!$B$24, Assumptions!$B$22*Assumptions!$B$23, 0)</f>
        <v>72828000</v>
      </c>
      <c r="I88" s="13">
        <f t="shared" si="5"/>
        <v>20388771.670124441</v>
      </c>
      <c r="J88" s="13">
        <f>I88/(1+((1+Assumptions!$B$28)^(1/12)-1))^(A88+0.5)</f>
        <v>10256963.029508995</v>
      </c>
    </row>
    <row r="89" spans="1:10" ht="14" x14ac:dyDescent="0.2">
      <c r="A89" s="10">
        <v>87</v>
      </c>
      <c r="B89" s="11">
        <v>118858.580670903</v>
      </c>
      <c r="C89" s="11">
        <f xml:space="preserve"> B89 * EXP(-(Assumptions!$B$31 - 1) * 0.00421 * A89)</f>
        <v>118858.580670903</v>
      </c>
      <c r="D89" s="12">
        <f t="shared" si="3"/>
        <v>3613300.8523954512</v>
      </c>
      <c r="E89" s="13">
        <f>D89*(Assumptions!$B$2*Assumptions!$B$8 + Assumptions!$B$3*Assumptions!$B$9 + Assumptions!$B$4*6*Assumptions!$B$10)</f>
        <v>145886299.2552959</v>
      </c>
      <c r="F89" s="13">
        <f>D89*(Assumptions!$B$14+Assumptions!$B$15+Assumptions!$B$16+Assumptions!$B$17+Assumptions!$B$18)</f>
        <v>52718059.436449632</v>
      </c>
      <c r="G89" s="13">
        <f t="shared" si="4"/>
        <v>93168239.81884627</v>
      </c>
      <c r="H89" s="14">
        <f>IF(A89&lt;Assumptions!$B$24, Assumptions!$B$22*Assumptions!$B$23, 0)</f>
        <v>72828000</v>
      </c>
      <c r="I89" s="13">
        <f t="shared" si="5"/>
        <v>20340239.81884627</v>
      </c>
      <c r="J89" s="13">
        <f>I89/(1+((1+Assumptions!$B$28)^(1/12)-1))^(A89+0.5)</f>
        <v>10151597.882872267</v>
      </c>
    </row>
    <row r="90" spans="1:10" ht="14" x14ac:dyDescent="0.2">
      <c r="A90" s="10">
        <v>88</v>
      </c>
      <c r="B90" s="11">
        <v>118797.462051216</v>
      </c>
      <c r="C90" s="11">
        <f xml:space="preserve"> B90 * EXP(-(Assumptions!$B$31 - 1) * 0.00421 * A90)</f>
        <v>118797.462051216</v>
      </c>
      <c r="D90" s="12">
        <f t="shared" si="3"/>
        <v>3611442.8463569665</v>
      </c>
      <c r="E90" s="13">
        <f>D90*(Assumptions!$B$2*Assumptions!$B$8 + Assumptions!$B$3*Assumptions!$B$9 + Assumptions!$B$4*6*Assumptions!$B$10)</f>
        <v>145811282.63309327</v>
      </c>
      <c r="F90" s="13">
        <f>D90*(Assumptions!$B$14+Assumptions!$B$15+Assumptions!$B$16+Assumptions!$B$17+Assumptions!$B$18)</f>
        <v>52690951.128348142</v>
      </c>
      <c r="G90" s="13">
        <f t="shared" si="4"/>
        <v>93120331.504745126</v>
      </c>
      <c r="H90" s="14">
        <f>IF(A90&lt;Assumptions!$B$24, Assumptions!$B$22*Assumptions!$B$23, 0)</f>
        <v>72828000</v>
      </c>
      <c r="I90" s="13">
        <f t="shared" si="5"/>
        <v>20292331.504745126</v>
      </c>
      <c r="J90" s="13">
        <f>I90/(1+((1+Assumptions!$B$28)^(1/12)-1))^(A90+0.5)</f>
        <v>10047566.644223602</v>
      </c>
    </row>
    <row r="91" spans="1:10" ht="14" x14ac:dyDescent="0.2">
      <c r="A91" s="10">
        <v>89</v>
      </c>
      <c r="B91" s="11">
        <v>118737.135850808</v>
      </c>
      <c r="C91" s="11">
        <f xml:space="preserve"> B91 * EXP(-(Assumptions!$B$31 - 1) * 0.00421 * A91)</f>
        <v>118737.135850808</v>
      </c>
      <c r="D91" s="12">
        <f t="shared" si="3"/>
        <v>3609608.929864563</v>
      </c>
      <c r="E91" s="13">
        <f>D91*(Assumptions!$B$2*Assumptions!$B$8 + Assumptions!$B$3*Assumptions!$B$9 + Assumptions!$B$4*6*Assumptions!$B$10)</f>
        <v>145737238.62149578</v>
      </c>
      <c r="F91" s="13">
        <f>D91*(Assumptions!$B$14+Assumptions!$B$15+Assumptions!$B$16+Assumptions!$B$17+Assumptions!$B$18)</f>
        <v>52664194.286723971</v>
      </c>
      <c r="G91" s="13">
        <f t="shared" si="4"/>
        <v>93073044.334771812</v>
      </c>
      <c r="H91" s="14">
        <f>IF(A91&lt;Assumptions!$B$24, Assumptions!$B$22*Assumptions!$B$23, 0)</f>
        <v>72828000</v>
      </c>
      <c r="I91" s="13">
        <f t="shared" si="5"/>
        <v>20245044.334771812</v>
      </c>
      <c r="J91" s="13">
        <f>I91/(1+((1+Assumptions!$B$28)^(1/12)-1))^(A91+0.5)</f>
        <v>9944851.1846044902</v>
      </c>
    </row>
    <row r="92" spans="1:10" ht="14" x14ac:dyDescent="0.2">
      <c r="A92" s="10">
        <v>90</v>
      </c>
      <c r="B92" s="11">
        <v>118677.59889164301</v>
      </c>
      <c r="C92" s="11">
        <f xml:space="preserve"> B92 * EXP(-(Assumptions!$B$31 - 1) * 0.00421 * A92)</f>
        <v>118677.59889164301</v>
      </c>
      <c r="D92" s="12">
        <f t="shared" si="3"/>
        <v>3607799.0063059474</v>
      </c>
      <c r="E92" s="13">
        <f>D92*(Assumptions!$B$2*Assumptions!$B$8 + Assumptions!$B$3*Assumptions!$B$9 + Assumptions!$B$4*6*Assumptions!$B$10)</f>
        <v>145664163.31980139</v>
      </c>
      <c r="F92" s="13">
        <f>D92*(Assumptions!$B$14+Assumptions!$B$15+Assumptions!$B$16+Assumptions!$B$17+Assumptions!$B$18)</f>
        <v>52637787.502003774</v>
      </c>
      <c r="G92" s="13">
        <f t="shared" si="4"/>
        <v>93026375.817797616</v>
      </c>
      <c r="H92" s="14">
        <f>IF(A92&lt;Assumptions!$B$24, Assumptions!$B$22*Assumptions!$B$23, 0)</f>
        <v>72828000</v>
      </c>
      <c r="I92" s="13">
        <f t="shared" si="5"/>
        <v>20198375.817797616</v>
      </c>
      <c r="J92" s="13">
        <f>I92/(1+((1+Assumptions!$B$28)^(1/12)-1))^(A92+0.5)</f>
        <v>9843433.5685362294</v>
      </c>
    </row>
    <row r="93" spans="1:10" ht="14" x14ac:dyDescent="0.2">
      <c r="A93" s="10">
        <v>91</v>
      </c>
      <c r="B93" s="11">
        <v>118618.84788155</v>
      </c>
      <c r="C93" s="11">
        <f xml:space="preserve"> B93 * EXP(-(Assumptions!$B$31 - 1) * 0.00421 * A93)</f>
        <v>118618.84788155</v>
      </c>
      <c r="D93" s="12">
        <f t="shared" si="3"/>
        <v>3606012.9755991199</v>
      </c>
      <c r="E93" s="13">
        <f>D93*(Assumptions!$B$2*Assumptions!$B$8 + Assumptions!$B$3*Assumptions!$B$9 + Assumptions!$B$4*6*Assumptions!$B$10)</f>
        <v>145592052.68721938</v>
      </c>
      <c r="F93" s="13">
        <f>D93*(Assumptions!$B$14+Assumptions!$B$15+Assumptions!$B$16+Assumptions!$B$17+Assumptions!$B$18)</f>
        <v>52611729.313991159</v>
      </c>
      <c r="G93" s="13">
        <f t="shared" si="4"/>
        <v>92980323.373228222</v>
      </c>
      <c r="H93" s="14">
        <f>IF(A93&lt;Assumptions!$B$24, Assumptions!$B$22*Assumptions!$B$23, 0)</f>
        <v>72828000</v>
      </c>
      <c r="I93" s="13">
        <f t="shared" si="5"/>
        <v>20152323.373228222</v>
      </c>
      <c r="J93" s="13">
        <f>I93/(1+((1+Assumptions!$B$28)^(1/12)-1))^(A93+0.5)</f>
        <v>9743296.0570187625</v>
      </c>
    </row>
    <row r="94" spans="1:10" ht="14" x14ac:dyDescent="0.2">
      <c r="A94" s="10">
        <v>92</v>
      </c>
      <c r="B94" s="11">
        <v>118560.879424322</v>
      </c>
      <c r="C94" s="11">
        <f xml:space="preserve"> B94 * EXP(-(Assumptions!$B$31 - 1) * 0.00421 * A94)</f>
        <v>118560.879424322</v>
      </c>
      <c r="D94" s="12">
        <f t="shared" si="3"/>
        <v>3604250.7344993888</v>
      </c>
      <c r="E94" s="13">
        <f>D94*(Assumptions!$B$2*Assumptions!$B$8 + Assumptions!$B$3*Assumptions!$B$9 + Assumptions!$B$4*6*Assumptions!$B$10)</f>
        <v>145520902.55526596</v>
      </c>
      <c r="F94" s="13">
        <f>D94*(Assumptions!$B$14+Assumptions!$B$15+Assumptions!$B$16+Assumptions!$B$17+Assumptions!$B$18)</f>
        <v>52586018.216346085</v>
      </c>
      <c r="G94" s="13">
        <f t="shared" si="4"/>
        <v>92934884.338919878</v>
      </c>
      <c r="H94" s="14">
        <f>IF(A94&lt;Assumptions!$B$24, Assumptions!$B$22*Assumptions!$B$23, 0)</f>
        <v>72828000</v>
      </c>
      <c r="I94" s="13">
        <f t="shared" si="5"/>
        <v>20106884.338919878</v>
      </c>
      <c r="J94" s="13">
        <f>I94/(1+((1+Assumptions!$B$28)^(1/12)-1))^(A94+0.5)</f>
        <v>9644421.1099890899</v>
      </c>
    </row>
    <row r="95" spans="1:10" ht="14" x14ac:dyDescent="0.2">
      <c r="A95" s="10">
        <v>93</v>
      </c>
      <c r="B95" s="11">
        <v>118503.690029019</v>
      </c>
      <c r="C95" s="11">
        <f xml:space="preserve"> B95 * EXP(-(Assumptions!$B$31 - 1) * 0.00421 * A95)</f>
        <v>118503.690029019</v>
      </c>
      <c r="D95" s="12">
        <f t="shared" si="3"/>
        <v>3602512.1768821771</v>
      </c>
      <c r="E95" s="13">
        <f>D95*(Assumptions!$B$2*Assumptions!$B$8 + Assumptions!$B$3*Assumptions!$B$9 + Assumptions!$B$4*6*Assumptions!$B$10)</f>
        <v>145450708.63918254</v>
      </c>
      <c r="F95" s="13">
        <f>D95*(Assumptions!$B$14+Assumptions!$B$15+Assumptions!$B$16+Assumptions!$B$17+Assumptions!$B$18)</f>
        <v>52560652.660710961</v>
      </c>
      <c r="G95" s="13">
        <f t="shared" si="4"/>
        <v>92890055.978471577</v>
      </c>
      <c r="H95" s="14">
        <f>IF(A95&lt;Assumptions!$B$24, Assumptions!$B$22*Assumptions!$B$23, 0)</f>
        <v>72828000</v>
      </c>
      <c r="I95" s="13">
        <f t="shared" si="5"/>
        <v>20062055.978471577</v>
      </c>
      <c r="J95" s="13">
        <f>I95/(1+((1+Assumptions!$B$28)^(1/12)-1))^(A95+0.5)</f>
        <v>9546791.3882987425</v>
      </c>
    </row>
    <row r="96" spans="1:10" ht="14" x14ac:dyDescent="0.2">
      <c r="A96" s="10">
        <v>94</v>
      </c>
      <c r="B96" s="11">
        <v>118447.276118528</v>
      </c>
      <c r="C96" s="11">
        <f xml:space="preserve"> B96 * EXP(-(Assumptions!$B$31 - 1) * 0.00421 * A96)</f>
        <v>118447.276118528</v>
      </c>
      <c r="D96" s="12">
        <f t="shared" si="3"/>
        <v>3600797.1940032509</v>
      </c>
      <c r="E96" s="13">
        <f>D96*(Assumptions!$B$2*Assumptions!$B$8 + Assumptions!$B$3*Assumptions!$B$9 + Assumptions!$B$4*6*Assumptions!$B$10)</f>
        <v>145381466.54844248</v>
      </c>
      <c r="F96" s="13">
        <f>D96*(Assumptions!$B$14+Assumptions!$B$15+Assumptions!$B$16+Assumptions!$B$17+Assumptions!$B$18)</f>
        <v>52535631.060507432</v>
      </c>
      <c r="G96" s="13">
        <f t="shared" si="4"/>
        <v>92845835.487935051</v>
      </c>
      <c r="H96" s="14">
        <f>IF(A96&lt;Assumptions!$B$24, Assumptions!$B$22*Assumptions!$B$23, 0)</f>
        <v>72828000</v>
      </c>
      <c r="I96" s="13">
        <f t="shared" si="5"/>
        <v>20017835.487935051</v>
      </c>
      <c r="J96" s="13">
        <f>I96/(1+((1+Assumptions!$B$28)^(1/12)-1))^(A96+0.5)</f>
        <v>9450389.7552518267</v>
      </c>
    </row>
    <row r="97" spans="1:10" ht="14" x14ac:dyDescent="0.2">
      <c r="A97" s="10">
        <v>95</v>
      </c>
      <c r="B97" s="11">
        <v>118391.63403745501</v>
      </c>
      <c r="C97" s="11">
        <f xml:space="preserve"> B97 * EXP(-(Assumptions!$B$31 - 1) * 0.00421 * A97)</f>
        <v>118391.63403745501</v>
      </c>
      <c r="D97" s="12">
        <f t="shared" si="3"/>
        <v>3599105.674738632</v>
      </c>
      <c r="E97" s="13">
        <f>D97*(Assumptions!$B$2*Assumptions!$B$8 + Assumptions!$B$3*Assumptions!$B$9 + Assumptions!$B$4*6*Assumptions!$B$10)</f>
        <v>145313171.79643735</v>
      </c>
      <c r="F97" s="13">
        <f>D97*(Assumptions!$B$14+Assumptions!$B$15+Assumptions!$B$16+Assumptions!$B$17+Assumptions!$B$18)</f>
        <v>52510951.794436641</v>
      </c>
      <c r="G97" s="13">
        <f t="shared" si="4"/>
        <v>92802220.002000719</v>
      </c>
      <c r="H97" s="14">
        <f>IF(A97&lt;Assumptions!$B$24, Assumptions!$B$22*Assumptions!$B$23, 0)</f>
        <v>72828000</v>
      </c>
      <c r="I97" s="13">
        <f t="shared" si="5"/>
        <v>19974220.002000719</v>
      </c>
      <c r="J97" s="13">
        <f>I97/(1+((1+Assumptions!$B$28)^(1/12)-1))^(A97+0.5)</f>
        <v>9355199.2777509131</v>
      </c>
    </row>
    <row r="98" spans="1:10" ht="14" x14ac:dyDescent="0.2">
      <c r="A98" s="10">
        <v>96</v>
      </c>
      <c r="B98" s="11">
        <v>118336.760059394</v>
      </c>
      <c r="C98" s="11">
        <f xml:space="preserve"> B98 * EXP(-(Assumptions!$B$31 - 1) * 0.00421 * A98)</f>
        <v>118336.760059394</v>
      </c>
      <c r="D98" s="12">
        <f t="shared" si="3"/>
        <v>3597437.5058055776</v>
      </c>
      <c r="E98" s="13">
        <f>D98*(Assumptions!$B$2*Assumptions!$B$8 + Assumptions!$B$3*Assumptions!$B$9 + Assumptions!$B$4*6*Assumptions!$B$10)</f>
        <v>145245819.80939907</v>
      </c>
      <c r="F98" s="13">
        <f>D98*(Assumptions!$B$14+Assumptions!$B$15+Assumptions!$B$16+Assumptions!$B$17+Assumptions!$B$18)</f>
        <v>52486613.209703378</v>
      </c>
      <c r="G98" s="13">
        <f t="shared" si="4"/>
        <v>92759206.599695683</v>
      </c>
      <c r="H98" s="14">
        <f>IF(A98&lt;Assumptions!$B$24, Assumptions!$B$22*Assumptions!$B$23, 0)</f>
        <v>72828000</v>
      </c>
      <c r="I98" s="13">
        <f t="shared" si="5"/>
        <v>19931206.599695683</v>
      </c>
      <c r="J98" s="13">
        <f>I98/(1+((1+Assumptions!$B$28)^(1/12)-1))^(A98+0.5)</f>
        <v>9261203.2270854507</v>
      </c>
    </row>
    <row r="99" spans="1:10" ht="14" x14ac:dyDescent="0.2">
      <c r="A99" s="10">
        <v>97</v>
      </c>
      <c r="B99" s="11">
        <v>118282.650393634</v>
      </c>
      <c r="C99" s="11">
        <f xml:space="preserve"> B99 * EXP(-(Assumptions!$B$31 - 1) * 0.00421 * A99)</f>
        <v>118282.650393634</v>
      </c>
      <c r="D99" s="12">
        <f t="shared" si="3"/>
        <v>3595792.5719664735</v>
      </c>
      <c r="E99" s="13">
        <f>D99*(Assumptions!$B$2*Assumptions!$B$8 + Assumptions!$B$3*Assumptions!$B$9 + Assumptions!$B$4*6*Assumptions!$B$10)</f>
        <v>145179405.934632</v>
      </c>
      <c r="F99" s="13">
        <f>D99*(Assumptions!$B$14+Assumptions!$B$15+Assumptions!$B$16+Assumptions!$B$17+Assumptions!$B$18)</f>
        <v>52462613.624990851</v>
      </c>
      <c r="G99" s="13">
        <f t="shared" si="4"/>
        <v>92716792.309641153</v>
      </c>
      <c r="H99" s="14">
        <f>IF(A99&lt;Assumptions!$B$24, Assumptions!$B$22*Assumptions!$B$23, 0)</f>
        <v>72828000</v>
      </c>
      <c r="I99" s="13">
        <f t="shared" si="5"/>
        <v>19888792.309641153</v>
      </c>
      <c r="J99" s="13">
        <f>I99/(1+((1+Assumptions!$B$28)^(1/12)-1))^(A99+0.5)</f>
        <v>9168385.0794010647</v>
      </c>
    </row>
    <row r="100" spans="1:10" ht="14" x14ac:dyDescent="0.2">
      <c r="A100" s="10">
        <v>98</v>
      </c>
      <c r="B100" s="11">
        <v>118229.301191347</v>
      </c>
      <c r="C100" s="11">
        <f xml:space="preserve"> B100 * EXP(-(Assumptions!$B$31 - 1) * 0.00421 * A100)</f>
        <v>118229.301191347</v>
      </c>
      <c r="D100" s="12">
        <f t="shared" si="3"/>
        <v>3594170.7562169484</v>
      </c>
      <c r="E100" s="13">
        <f>D100*(Assumptions!$B$2*Assumptions!$B$8 + Assumptions!$B$3*Assumptions!$B$9 + Assumptions!$B$4*6*Assumptions!$B$10)</f>
        <v>145113925.44810808</v>
      </c>
      <c r="F100" s="13">
        <f>D100*(Assumptions!$B$14+Assumptions!$B$15+Assumptions!$B$16+Assumptions!$B$17+Assumptions!$B$18)</f>
        <v>52438951.333205275</v>
      </c>
      <c r="G100" s="13">
        <f t="shared" si="4"/>
        <v>92674974.114902794</v>
      </c>
      <c r="H100" s="14">
        <f>IF(A100&lt;Assumptions!$B$24, Assumptions!$B$22*Assumptions!$B$23, 0)</f>
        <v>72828000</v>
      </c>
      <c r="I100" s="13">
        <f t="shared" si="5"/>
        <v>19846974.114902794</v>
      </c>
      <c r="J100" s="13">
        <f>I100/(1+((1+Assumptions!$B$28)^(1/12)-1))^(A100+0.5)</f>
        <v>9076728.515879849</v>
      </c>
    </row>
    <row r="101" spans="1:10" ht="14" x14ac:dyDescent="0.2">
      <c r="A101" s="10">
        <v>99</v>
      </c>
      <c r="B101" s="11">
        <v>118176.708551291</v>
      </c>
      <c r="C101" s="11">
        <f xml:space="preserve"> B101 * EXP(-(Assumptions!$B$31 - 1) * 0.00421 * A101)</f>
        <v>118176.708551291</v>
      </c>
      <c r="D101" s="12">
        <f t="shared" si="3"/>
        <v>3592571.9399592462</v>
      </c>
      <c r="E101" s="13">
        <f>D101*(Assumptions!$B$2*Assumptions!$B$8 + Assumptions!$B$3*Assumptions!$B$9 + Assumptions!$B$4*6*Assumptions!$B$10)</f>
        <v>145049373.5614666</v>
      </c>
      <c r="F101" s="13">
        <f>D101*(Assumptions!$B$14+Assumptions!$B$15+Assumptions!$B$16+Assumptions!$B$17+Assumptions!$B$18)</f>
        <v>52415624.604005404</v>
      </c>
      <c r="G101" s="13">
        <f t="shared" si="4"/>
        <v>92633748.957461208</v>
      </c>
      <c r="H101" s="14">
        <f>IF(A101&lt;Assumptions!$B$24, Assumptions!$B$22*Assumptions!$B$23, 0)</f>
        <v>72828000</v>
      </c>
      <c r="I101" s="13">
        <f t="shared" si="5"/>
        <v>19805748.957461208</v>
      </c>
      <c r="J101" s="13">
        <f>I101/(1+((1+Assumptions!$B$28)^(1/12)-1))^(A101+0.5)</f>
        <v>8986217.4226574898</v>
      </c>
    </row>
    <row r="102" spans="1:10" ht="14" x14ac:dyDescent="0.2">
      <c r="A102" s="10">
        <v>100</v>
      </c>
      <c r="B102" s="11">
        <v>118124.868525085</v>
      </c>
      <c r="C102" s="11">
        <f xml:space="preserve"> B102 * EXP(-(Assumptions!$B$31 - 1) * 0.00421 * A102)</f>
        <v>118124.868525085</v>
      </c>
      <c r="D102" s="12">
        <f t="shared" si="3"/>
        <v>3590996.0031625838</v>
      </c>
      <c r="E102" s="13">
        <f>D102*(Assumptions!$B$2*Assumptions!$B$8 + Assumptions!$B$3*Assumptions!$B$9 + Assumptions!$B$4*6*Assumptions!$B$10)</f>
        <v>144985745.4284887</v>
      </c>
      <c r="F102" s="13">
        <f>D102*(Assumptions!$B$14+Assumptions!$B$15+Assumptions!$B$16+Assumptions!$B$17+Assumptions!$B$18)</f>
        <v>52392631.686142094</v>
      </c>
      <c r="G102" s="13">
        <f t="shared" si="4"/>
        <v>92593113.742346615</v>
      </c>
      <c r="H102" s="14">
        <f>IF(A102&lt;Assumptions!$B$24, Assumptions!$B$22*Assumptions!$B$23, 0)</f>
        <v>72828000</v>
      </c>
      <c r="I102" s="13">
        <f t="shared" si="5"/>
        <v>19765113.742346615</v>
      </c>
      <c r="J102" s="13">
        <f>I102/(1+((1+Assumptions!$B$28)^(1/12)-1))^(A102+0.5)</f>
        <v>8896835.8905095421</v>
      </c>
    </row>
    <row r="103" spans="1:10" ht="14" x14ac:dyDescent="0.2">
      <c r="A103" s="10">
        <v>101</v>
      </c>
      <c r="B103" s="11">
        <v>118073.777122078</v>
      </c>
      <c r="C103" s="11">
        <f xml:space="preserve"> B103 * EXP(-(Assumptions!$B$31 - 1) * 0.00421 * A103)</f>
        <v>118073.777122078</v>
      </c>
      <c r="D103" s="12">
        <f t="shared" si="3"/>
        <v>3589442.8245111709</v>
      </c>
      <c r="E103" s="13">
        <f>D103*(Assumptions!$B$2*Assumptions!$B$8 + Assumptions!$B$3*Assumptions!$B$9 + Assumptions!$B$4*6*Assumptions!$B$10)</f>
        <v>144923036.15107363</v>
      </c>
      <c r="F103" s="13">
        <f>D103*(Assumptions!$B$14+Assumptions!$B$15+Assumptions!$B$16+Assumptions!$B$17+Assumptions!$B$18)</f>
        <v>52369970.809617981</v>
      </c>
      <c r="G103" s="13">
        <f t="shared" si="4"/>
        <v>92553065.341455653</v>
      </c>
      <c r="H103" s="14">
        <f>IF(A103&lt;Assumptions!$B$24, Assumptions!$B$22*Assumptions!$B$23, 0)</f>
        <v>72828000</v>
      </c>
      <c r="I103" s="13">
        <f t="shared" si="5"/>
        <v>19725065.341455653</v>
      </c>
      <c r="J103" s="13">
        <f>I103/(1+((1+Assumptions!$B$28)^(1/12)-1))^(A103+0.5)</f>
        <v>8808568.2143257912</v>
      </c>
    </row>
    <row r="104" spans="1:10" ht="14" x14ac:dyDescent="0.2">
      <c r="A104" s="10">
        <v>102</v>
      </c>
      <c r="B104" s="11">
        <v>118023.430313844</v>
      </c>
      <c r="C104" s="11">
        <f xml:space="preserve"> B104 * EXP(-(Assumptions!$B$31 - 1) * 0.00421 * A104)</f>
        <v>118023.430313844</v>
      </c>
      <c r="D104" s="12">
        <f t="shared" si="3"/>
        <v>3587912.2815408576</v>
      </c>
      <c r="E104" s="13">
        <f>D104*(Assumptions!$B$2*Assumptions!$B$8 + Assumptions!$B$3*Assumptions!$B$9 + Assumptions!$B$4*6*Assumptions!$B$10)</f>
        <v>144861240.78475586</v>
      </c>
      <c r="F104" s="13">
        <f>D104*(Assumptions!$B$14+Assumptions!$B$15+Assumptions!$B$16+Assumptions!$B$17+Assumptions!$B$18)</f>
        <v>52347640.187681109</v>
      </c>
      <c r="G104" s="13">
        <f t="shared" si="4"/>
        <v>92513600.597074747</v>
      </c>
      <c r="H104" s="14">
        <f>IF(A104&lt;Assumptions!$B$24, Assumptions!$B$22*Assumptions!$B$23, 0)</f>
        <v>72828000</v>
      </c>
      <c r="I104" s="13">
        <f t="shared" si="5"/>
        <v>19685600.597074747</v>
      </c>
      <c r="J104" s="13">
        <f>I104/(1+((1+Assumptions!$B$28)^(1/12)-1))^(A104+0.5)</f>
        <v>8721398.8923937604</v>
      </c>
    </row>
    <row r="105" spans="1:10" ht="14" x14ac:dyDescent="0.2">
      <c r="A105" s="10">
        <v>103</v>
      </c>
      <c r="B105" s="11">
        <v>117973.824038344</v>
      </c>
      <c r="C105" s="11">
        <f xml:space="preserve"> B105 * EXP(-(Assumptions!$B$31 - 1) * 0.00421 * A105)</f>
        <v>117973.824038344</v>
      </c>
      <c r="D105" s="12">
        <f t="shared" si="3"/>
        <v>3586404.2507656575</v>
      </c>
      <c r="E105" s="13">
        <f>D105*(Assumptions!$B$2*Assumptions!$B$8 + Assumptions!$B$3*Assumptions!$B$9 + Assumptions!$B$4*6*Assumptions!$B$10)</f>
        <v>144800354.3438133</v>
      </c>
      <c r="F105" s="13">
        <f>D105*(Assumptions!$B$14+Assumptions!$B$15+Assumptions!$B$16+Assumptions!$B$17+Assumptions!$B$18)</f>
        <v>52325638.018670946</v>
      </c>
      <c r="G105" s="13">
        <f t="shared" si="4"/>
        <v>92474716.325142354</v>
      </c>
      <c r="H105" s="14">
        <f>IF(A105&lt;Assumptions!$B$24, Assumptions!$B$22*Assumptions!$B$23, 0)</f>
        <v>72828000</v>
      </c>
      <c r="I105" s="13">
        <f t="shared" si="5"/>
        <v>19646716.325142354</v>
      </c>
      <c r="J105" s="13">
        <f>I105/(1+((1+Assumptions!$B$28)^(1/12)-1))^(A105+0.5)</f>
        <v>8635312.6255148649</v>
      </c>
    </row>
    <row r="106" spans="1:10" ht="14" x14ac:dyDescent="0.2">
      <c r="A106" s="10">
        <v>104</v>
      </c>
      <c r="B106" s="11">
        <v>117924.95420377</v>
      </c>
      <c r="C106" s="11">
        <f xml:space="preserve"> B106 * EXP(-(Assumptions!$B$31 - 1) * 0.00421 * A106)</f>
        <v>117924.95420377</v>
      </c>
      <c r="D106" s="12">
        <f t="shared" si="3"/>
        <v>3584918.607794608</v>
      </c>
      <c r="E106" s="13">
        <f>D106*(Assumptions!$B$2*Assumptions!$B$8 + Assumptions!$B$3*Assumptions!$B$9 + Assumptions!$B$4*6*Assumptions!$B$10)</f>
        <v>144740371.80598578</v>
      </c>
      <c r="F106" s="13">
        <f>D106*(Assumptions!$B$14+Assumptions!$B$15+Assumptions!$B$16+Assumptions!$B$17+Assumptions!$B$18)</f>
        <v>52303962.487723328</v>
      </c>
      <c r="G106" s="13">
        <f t="shared" si="4"/>
        <v>92436409.318262458</v>
      </c>
      <c r="H106" s="14">
        <f>IF(A106&lt;Assumptions!$B$24, Assumptions!$B$22*Assumptions!$B$23, 0)</f>
        <v>72828000</v>
      </c>
      <c r="I106" s="13">
        <f t="shared" si="5"/>
        <v>19608409.318262458</v>
      </c>
      <c r="J106" s="13">
        <f>I106/(1+((1+Assumptions!$B$28)^(1/12)-1))^(A106+0.5)</f>
        <v>8550294.3159668837</v>
      </c>
    </row>
    <row r="107" spans="1:10" ht="14" x14ac:dyDescent="0.2">
      <c r="A107" s="10">
        <v>105</v>
      </c>
      <c r="B107" s="11">
        <v>117876.81669209999</v>
      </c>
      <c r="C107" s="11">
        <f xml:space="preserve"> B107 * EXP(-(Assumptions!$B$31 - 1) * 0.00421 * A107)</f>
        <v>117876.81669209999</v>
      </c>
      <c r="D107" s="12">
        <f t="shared" si="3"/>
        <v>3583455.2274398399</v>
      </c>
      <c r="E107" s="13">
        <f>D107*(Assumptions!$B$2*Assumptions!$B$8 + Assumptions!$B$3*Assumptions!$B$9 + Assumptions!$B$4*6*Assumptions!$B$10)</f>
        <v>144681288.11683807</v>
      </c>
      <c r="F107" s="13">
        <f>D107*(Assumptions!$B$14+Assumptions!$B$15+Assumptions!$B$16+Assumptions!$B$17+Assumptions!$B$18)</f>
        <v>52282611.768347263</v>
      </c>
      <c r="G107" s="13">
        <f t="shared" si="4"/>
        <v>92398676.348490804</v>
      </c>
      <c r="H107" s="14">
        <f>IF(A107&lt;Assumptions!$B$24, Assumptions!$B$22*Assumptions!$B$23, 0)</f>
        <v>72828000</v>
      </c>
      <c r="I107" s="13">
        <f t="shared" si="5"/>
        <v>19570676.348490804</v>
      </c>
      <c r="J107" s="13">
        <f>I107/(1+((1+Assumptions!$B$28)^(1/12)-1))^(A107+0.5)</f>
        <v>8466329.0663296841</v>
      </c>
    </row>
    <row r="108" spans="1:10" ht="14" x14ac:dyDescent="0.2">
      <c r="A108" s="10">
        <v>106</v>
      </c>
      <c r="B108" s="11">
        <v>117829.40736239401</v>
      </c>
      <c r="C108" s="11">
        <f xml:space="preserve"> B108 * EXP(-(Assumptions!$B$31 - 1) * 0.00421 * A108)</f>
        <v>117829.40736239401</v>
      </c>
      <c r="D108" s="12">
        <f t="shared" si="3"/>
        <v>3582013.9838167778</v>
      </c>
      <c r="E108" s="13">
        <f>D108*(Assumptions!$B$2*Assumptions!$B$8 + Assumptions!$B$3*Assumptions!$B$9 + Assumptions!$B$4*6*Assumptions!$B$10)</f>
        <v>144623098.19380566</v>
      </c>
      <c r="F108" s="13">
        <f>D108*(Assumptions!$B$14+Assumptions!$B$15+Assumptions!$B$16+Assumptions!$B$17+Assumptions!$B$18)</f>
        <v>52261584.023886785</v>
      </c>
      <c r="G108" s="13">
        <f t="shared" si="4"/>
        <v>92361514.16991888</v>
      </c>
      <c r="H108" s="14">
        <f>IF(A108&lt;Assumptions!$B$24, Assumptions!$B$22*Assumptions!$B$23, 0)</f>
        <v>72828000</v>
      </c>
      <c r="I108" s="13">
        <f t="shared" si="5"/>
        <v>19533514.16991888</v>
      </c>
      <c r="J108" s="13">
        <f>I108/(1+((1+Assumptions!$B$28)^(1/12)-1))^(A108+0.5)</f>
        <v>8383402.1781919794</v>
      </c>
    </row>
    <row r="109" spans="1:10" ht="14" x14ac:dyDescent="0.2">
      <c r="A109" s="10">
        <v>107</v>
      </c>
      <c r="B109" s="11">
        <v>117782.722053839</v>
      </c>
      <c r="C109" s="11">
        <f xml:space="preserve"> B109 * EXP(-(Assumptions!$B$31 - 1) * 0.00421 * A109)</f>
        <v>117782.722053839</v>
      </c>
      <c r="D109" s="12">
        <f t="shared" si="3"/>
        <v>3580594.7504367051</v>
      </c>
      <c r="E109" s="13">
        <f>D109*(Assumptions!$B$2*Assumptions!$B$8 + Assumptions!$B$3*Assumptions!$B$9 + Assumptions!$B$4*6*Assumptions!$B$10)</f>
        <v>144565796.92993191</v>
      </c>
      <c r="F109" s="13">
        <f>D109*(Assumptions!$B$14+Assumptions!$B$15+Assumptions!$B$16+Assumptions!$B$17+Assumptions!$B$18)</f>
        <v>52240877.408871524</v>
      </c>
      <c r="G109" s="13">
        <f t="shared" si="4"/>
        <v>92324919.521060377</v>
      </c>
      <c r="H109" s="14">
        <f>IF(A109&lt;Assumptions!$B$24, Assumptions!$B$22*Assumptions!$B$23, 0)</f>
        <v>72828000</v>
      </c>
      <c r="I109" s="13">
        <f t="shared" si="5"/>
        <v>19496919.521060377</v>
      </c>
      <c r="J109" s="13">
        <f>I109/(1+((1+Assumptions!$B$28)^(1/12)-1))^(A109+0.5)</f>
        <v>8301499.1507472135</v>
      </c>
    </row>
    <row r="110" spans="1:10" ht="14" x14ac:dyDescent="0.2">
      <c r="A110" s="10">
        <v>108</v>
      </c>
      <c r="B110" s="11">
        <v>117736.756588567</v>
      </c>
      <c r="C110" s="11">
        <f xml:space="preserve"> B110 * EXP(-(Assumptions!$B$31 - 1) * 0.00421 * A110)</f>
        <v>117736.756588567</v>
      </c>
      <c r="D110" s="12">
        <f t="shared" si="3"/>
        <v>3579197.4002924366</v>
      </c>
      <c r="E110" s="13">
        <f>D110*(Assumptions!$B$2*Assumptions!$B$8 + Assumptions!$B$3*Assumptions!$B$9 + Assumptions!$B$4*6*Assumptions!$B$10)</f>
        <v>144509379.19732711</v>
      </c>
      <c r="F110" s="13">
        <f>D110*(Assumptions!$B$14+Assumptions!$B$15+Assumptions!$B$16+Assumptions!$B$17+Assumptions!$B$18)</f>
        <v>52220490.070266649</v>
      </c>
      <c r="G110" s="13">
        <f t="shared" si="4"/>
        <v>92288889.127060458</v>
      </c>
      <c r="H110" s="14">
        <f>IF(A110&lt;Assumptions!$B$24, Assumptions!$B$22*Assumptions!$B$23, 0)</f>
        <v>72828000</v>
      </c>
      <c r="I110" s="13">
        <f t="shared" si="5"/>
        <v>19460889.127060458</v>
      </c>
      <c r="J110" s="13">
        <f>I110/(1+((1+Assumptions!$B$28)^(1/12)-1))^(A110+0.5)</f>
        <v>8220605.6792930877</v>
      </c>
    </row>
    <row r="111" spans="1:10" ht="14" x14ac:dyDescent="0.2">
      <c r="A111" s="10">
        <v>109</v>
      </c>
      <c r="B111" s="11">
        <v>117691.506774276</v>
      </c>
      <c r="C111" s="11">
        <f xml:space="preserve"> B111 * EXP(-(Assumptions!$B$31 - 1) * 0.00421 * A111)</f>
        <v>117691.506774276</v>
      </c>
      <c r="D111" s="12">
        <f t="shared" si="3"/>
        <v>3577821.8059379901</v>
      </c>
      <c r="E111" s="13">
        <f>D111*(Assumptions!$B$2*Assumptions!$B$8 + Assumptions!$B$3*Assumptions!$B$9 + Assumptions!$B$4*6*Assumptions!$B$10)</f>
        <v>144453839.85038519</v>
      </c>
      <c r="F111" s="13">
        <f>D111*(Assumptions!$B$14+Assumptions!$B$15+Assumptions!$B$16+Assumptions!$B$17+Assumptions!$B$18)</f>
        <v>52200420.148635276</v>
      </c>
      <c r="G111" s="13">
        <f t="shared" si="4"/>
        <v>92253419.701749921</v>
      </c>
      <c r="H111" s="14">
        <f>IF(A111&lt;Assumptions!$B$24, Assumptions!$B$22*Assumptions!$B$23, 0)</f>
        <v>72828000</v>
      </c>
      <c r="I111" s="13">
        <f t="shared" si="5"/>
        <v>19425419.701749921</v>
      </c>
      <c r="J111" s="13">
        <f>I111/(1+((1+Assumptions!$B$28)^(1/12)-1))^(A111+0.5)</f>
        <v>8140707.6536491467</v>
      </c>
    </row>
    <row r="112" spans="1:10" ht="14" x14ac:dyDescent="0.2">
      <c r="A112" s="10">
        <v>110</v>
      </c>
      <c r="B112" s="11">
        <v>117646.968406645</v>
      </c>
      <c r="C112" s="11">
        <f xml:space="preserve"> B112 * EXP(-(Assumptions!$B$31 - 1) * 0.00421 * A112)</f>
        <v>117646.968406645</v>
      </c>
      <c r="D112" s="12">
        <f t="shared" si="3"/>
        <v>3576467.8395620077</v>
      </c>
      <c r="E112" s="13">
        <f>D112*(Assumptions!$B$2*Assumptions!$B$8 + Assumptions!$B$3*Assumptions!$B$9 + Assumptions!$B$4*6*Assumptions!$B$10)</f>
        <v>144399173.72874817</v>
      </c>
      <c r="F112" s="13">
        <f>D112*(Assumptions!$B$14+Assumptions!$B$15+Assumptions!$B$16+Assumptions!$B$17+Assumptions!$B$18)</f>
        <v>52180665.779209688</v>
      </c>
      <c r="G112" s="13">
        <f t="shared" si="4"/>
        <v>92218507.949538484</v>
      </c>
      <c r="H112" s="14">
        <f>IF(A112&lt;Assumptions!$B$24, Assumptions!$B$22*Assumptions!$B$23, 0)</f>
        <v>72828000</v>
      </c>
      <c r="I112" s="13">
        <f t="shared" si="5"/>
        <v>19390507.949538484</v>
      </c>
      <c r="J112" s="13">
        <f>I112/(1+((1+Assumptions!$B$28)^(1/12)-1))^(A112+0.5)</f>
        <v>8061791.1564946072</v>
      </c>
    </row>
    <row r="113" spans="1:10" ht="14" x14ac:dyDescent="0.2">
      <c r="A113" s="10">
        <v>111</v>
      </c>
      <c r="B113" s="11">
        <v>117603.137271582</v>
      </c>
      <c r="C113" s="11">
        <f xml:space="preserve"> B113 * EXP(-(Assumptions!$B$31 - 1) * 0.00421 * A113)</f>
        <v>117603.137271582</v>
      </c>
      <c r="D113" s="12">
        <f t="shared" si="3"/>
        <v>3575135.3730560928</v>
      </c>
      <c r="E113" s="13">
        <f>D113*(Assumptions!$B$2*Assumptions!$B$8 + Assumptions!$B$3*Assumptions!$B$9 + Assumptions!$B$4*6*Assumptions!$B$10)</f>
        <v>144345375.66006517</v>
      </c>
      <c r="F113" s="13">
        <f>D113*(Assumptions!$B$14+Assumptions!$B$15+Assumptions!$B$16+Assumptions!$B$17+Assumptions!$B$18)</f>
        <v>52161225.092888393</v>
      </c>
      <c r="G113" s="13">
        <f t="shared" si="4"/>
        <v>92184150.567176789</v>
      </c>
      <c r="H113" s="14">
        <f>IF(A113&lt;Assumptions!$B$24, Assumptions!$B$22*Assumptions!$B$23, 0)</f>
        <v>72828000</v>
      </c>
      <c r="I113" s="13">
        <f t="shared" si="5"/>
        <v>19356150.567176789</v>
      </c>
      <c r="J113" s="13">
        <f>I113/(1+((1+Assumptions!$B$28)^(1/12)-1))^(A113+0.5)</f>
        <v>7983842.4616431501</v>
      </c>
    </row>
    <row r="114" spans="1:10" ht="14" x14ac:dyDescent="0.2">
      <c r="A114" s="10">
        <v>112</v>
      </c>
      <c r="B114" s="11">
        <v>117560.009147303</v>
      </c>
      <c r="C114" s="11">
        <f xml:space="preserve"> B114 * EXP(-(Assumptions!$B$31 - 1) * 0.00421 * A114)</f>
        <v>117560.009147303</v>
      </c>
      <c r="D114" s="12">
        <f t="shared" si="3"/>
        <v>3573824.2780780112</v>
      </c>
      <c r="E114" s="13">
        <f>D114*(Assumptions!$B$2*Assumptions!$B$8 + Assumptions!$B$3*Assumptions!$B$9 + Assumptions!$B$4*6*Assumptions!$B$10)</f>
        <v>144292440.46254411</v>
      </c>
      <c r="F114" s="13">
        <f>D114*(Assumptions!$B$14+Assumptions!$B$15+Assumptions!$B$16+Assumptions!$B$17+Assumptions!$B$18)</f>
        <v>52142096.217158183</v>
      </c>
      <c r="G114" s="13">
        <f t="shared" si="4"/>
        <v>92150344.24538593</v>
      </c>
      <c r="H114" s="14">
        <f>IF(A114&lt;Assumptions!$B$24, Assumptions!$B$22*Assumptions!$B$23, 0)</f>
        <v>72828000</v>
      </c>
      <c r="I114" s="13">
        <f t="shared" si="5"/>
        <v>19322344.24538593</v>
      </c>
      <c r="J114" s="13">
        <f>I114/(1+((1+Assumptions!$B$28)^(1/12)-1))^(A114+0.5)</f>
        <v>7906848.0322579201</v>
      </c>
    </row>
    <row r="115" spans="1:10" ht="14" x14ac:dyDescent="0.2">
      <c r="A115" s="10">
        <v>113</v>
      </c>
      <c r="B115" s="11">
        <v>117517.537971607</v>
      </c>
      <c r="C115" s="11">
        <f xml:space="preserve"> B115 * EXP(-(Assumptions!$B$31 - 1) * 0.00421 * A115)</f>
        <v>117517.537971607</v>
      </c>
      <c r="D115" s="12">
        <f t="shared" si="3"/>
        <v>3572533.1543368525</v>
      </c>
      <c r="E115" s="13">
        <f>D115*(Assumptions!$B$2*Assumptions!$B$8 + Assumptions!$B$3*Assumptions!$B$9 + Assumptions!$B$4*6*Assumptions!$B$10)</f>
        <v>144240311.59971958</v>
      </c>
      <c r="F115" s="13">
        <f>D115*(Assumptions!$B$14+Assumptions!$B$15+Assumptions!$B$16+Assumptions!$B$17+Assumptions!$B$18)</f>
        <v>52123258.721774675</v>
      </c>
      <c r="G115" s="13">
        <f t="shared" si="4"/>
        <v>92117052.877944916</v>
      </c>
      <c r="H115" s="14">
        <f>IF(A115&lt;Assumptions!$B$24, Assumptions!$B$22*Assumptions!$B$23, 0)</f>
        <v>72828000</v>
      </c>
      <c r="I115" s="13">
        <f t="shared" si="5"/>
        <v>19289052.877944916</v>
      </c>
      <c r="J115" s="13">
        <f>I115/(1+((1+Assumptions!$B$28)^(1/12)-1))^(A115+0.5)</f>
        <v>7830781.2062683608</v>
      </c>
    </row>
    <row r="116" spans="1:10" ht="14" x14ac:dyDescent="0.2">
      <c r="A116" s="10">
        <v>114</v>
      </c>
      <c r="B116" s="11">
        <v>117475.316726998</v>
      </c>
      <c r="C116" s="11">
        <f xml:space="preserve"> B116 * EXP(-(Assumptions!$B$31 - 1) * 0.00421 * A116)</f>
        <v>117475.316726998</v>
      </c>
      <c r="D116" s="12">
        <f t="shared" si="3"/>
        <v>3571249.6285007391</v>
      </c>
      <c r="E116" s="13">
        <f>D116*(Assumptions!$B$2*Assumptions!$B$8 + Assumptions!$B$3*Assumptions!$B$9 + Assumptions!$B$4*6*Assumptions!$B$10)</f>
        <v>144188489.50079167</v>
      </c>
      <c r="F116" s="13">
        <f>D116*(Assumptions!$B$14+Assumptions!$B$15+Assumptions!$B$16+Assumptions!$B$17+Assumptions!$B$18)</f>
        <v>52104532.079825781</v>
      </c>
      <c r="G116" s="13">
        <f t="shared" si="4"/>
        <v>92083957.42096588</v>
      </c>
      <c r="H116" s="14">
        <f>IF(A116&lt;Assumptions!$B$24, Assumptions!$B$22*Assumptions!$B$23, 0)</f>
        <v>72828000</v>
      </c>
      <c r="I116" s="13">
        <f t="shared" si="5"/>
        <v>19255957.42096588</v>
      </c>
      <c r="J116" s="13">
        <f>I116/(1+((1+Assumptions!$B$28)^(1/12)-1))^(A116+0.5)</f>
        <v>7755501.9741942128</v>
      </c>
    </row>
    <row r="117" spans="1:10" ht="14" x14ac:dyDescent="0.2">
      <c r="A117" s="10">
        <v>115</v>
      </c>
      <c r="B117" s="11">
        <v>117433.254852857</v>
      </c>
      <c r="C117" s="11">
        <f xml:space="preserve"> B117 * EXP(-(Assumptions!$B$31 - 1) * 0.00421 * A117)</f>
        <v>117433.254852857</v>
      </c>
      <c r="D117" s="12">
        <f t="shared" si="3"/>
        <v>3569970.9475268526</v>
      </c>
      <c r="E117" s="13">
        <f>D117*(Assumptions!$B$2*Assumptions!$B$8 + Assumptions!$B$3*Assumptions!$B$9 + Assumptions!$B$4*6*Assumptions!$B$10)</f>
        <v>144136863.01220721</v>
      </c>
      <c r="F117" s="13">
        <f>D117*(Assumptions!$B$14+Assumptions!$B$15+Assumptions!$B$16+Assumptions!$B$17+Assumptions!$B$18)</f>
        <v>52085876.124416776</v>
      </c>
      <c r="G117" s="13">
        <f t="shared" si="4"/>
        <v>92050986.887790442</v>
      </c>
      <c r="H117" s="14">
        <f>IF(A117&lt;Assumptions!$B$24, Assumptions!$B$22*Assumptions!$B$23, 0)</f>
        <v>72828000</v>
      </c>
      <c r="I117" s="13">
        <f t="shared" si="5"/>
        <v>19222986.887790442</v>
      </c>
      <c r="J117" s="13">
        <f>I117/(1+((1+Assumptions!$B$28)^(1/12)-1))^(A117+0.5)</f>
        <v>7680973.6467404179</v>
      </c>
    </row>
    <row r="118" spans="1:10" ht="14" x14ac:dyDescent="0.2">
      <c r="A118" s="10">
        <v>116</v>
      </c>
      <c r="B118" s="11">
        <v>117391.366024847</v>
      </c>
      <c r="C118" s="11">
        <f xml:space="preserve"> B118 * EXP(-(Assumptions!$B$31 - 1) * 0.00421 * A118)</f>
        <v>117391.366024847</v>
      </c>
      <c r="D118" s="12">
        <f t="shared" si="3"/>
        <v>3568697.5271553486</v>
      </c>
      <c r="E118" s="13">
        <f>D118*(Assumptions!$B$2*Assumptions!$B$8 + Assumptions!$B$3*Assumptions!$B$9 + Assumptions!$B$4*6*Assumptions!$B$10)</f>
        <v>144085448.91939178</v>
      </c>
      <c r="F118" s="13">
        <f>D118*(Assumptions!$B$14+Assumptions!$B$15+Assumptions!$B$16+Assumptions!$B$17+Assumptions!$B$18)</f>
        <v>52067296.921196535</v>
      </c>
      <c r="G118" s="13">
        <f t="shared" si="4"/>
        <v>92018151.998195246</v>
      </c>
      <c r="H118" s="14">
        <f>IF(A118&lt;Assumptions!$B$24, Assumptions!$B$22*Assumptions!$B$23, 0)</f>
        <v>72828000</v>
      </c>
      <c r="I118" s="13">
        <f t="shared" si="5"/>
        <v>19190151.998195246</v>
      </c>
      <c r="J118" s="13">
        <f>I118/(1+((1+Assumptions!$B$28)^(1/12)-1))^(A118+0.5)</f>
        <v>7607192.9088974493</v>
      </c>
    </row>
    <row r="119" spans="1:10" ht="14" x14ac:dyDescent="0.2">
      <c r="A119" s="10">
        <v>117</v>
      </c>
      <c r="B119" s="11">
        <v>117349.663374668</v>
      </c>
      <c r="C119" s="11">
        <f xml:space="preserve"> B119 * EXP(-(Assumptions!$B$31 - 1) * 0.00421 * A119)</f>
        <v>117349.663374668</v>
      </c>
      <c r="D119" s="12">
        <f t="shared" si="3"/>
        <v>3567429.766589907</v>
      </c>
      <c r="E119" s="13">
        <f>D119*(Assumptions!$B$2*Assumptions!$B$8 + Assumptions!$B$3*Assumptions!$B$9 + Assumptions!$B$4*6*Assumptions!$B$10)</f>
        <v>144034263.34011421</v>
      </c>
      <c r="F119" s="13">
        <f>D119*(Assumptions!$B$14+Assumptions!$B$15+Assumptions!$B$16+Assumptions!$B$17+Assumptions!$B$18)</f>
        <v>52048800.294546746</v>
      </c>
      <c r="G119" s="13">
        <f t="shared" si="4"/>
        <v>91985463.045567453</v>
      </c>
      <c r="H119" s="14">
        <f>IF(A119&lt;Assumptions!$B$24, Assumptions!$B$22*Assumptions!$B$23, 0)</f>
        <v>72828000</v>
      </c>
      <c r="I119" s="13">
        <f t="shared" si="5"/>
        <v>19157463.045567453</v>
      </c>
      <c r="J119" s="13">
        <f>I119/(1+((1+Assumptions!$B$28)^(1/12)-1))^(A119+0.5)</f>
        <v>7534156.2193114338</v>
      </c>
    </row>
    <row r="120" spans="1:10" ht="14" x14ac:dyDescent="0.2">
      <c r="A120" s="10">
        <v>118</v>
      </c>
      <c r="B120" s="11">
        <v>117308.159410532</v>
      </c>
      <c r="C120" s="11">
        <f xml:space="preserve"> B120 * EXP(-(Assumptions!$B$31 - 1) * 0.00421 * A120)</f>
        <v>117308.159410532</v>
      </c>
      <c r="D120" s="12">
        <f t="shared" si="3"/>
        <v>3566168.0460801725</v>
      </c>
      <c r="E120" s="13">
        <f>D120*(Assumptions!$B$2*Assumptions!$B$8 + Assumptions!$B$3*Assumptions!$B$9 + Assumptions!$B$4*6*Assumptions!$B$10)</f>
        <v>143983321.62687778</v>
      </c>
      <c r="F120" s="13">
        <f>D120*(Assumptions!$B$14+Assumptions!$B$15+Assumptions!$B$16+Assumptions!$B$17+Assumptions!$B$18)</f>
        <v>52030391.792309716</v>
      </c>
      <c r="G120" s="13">
        <f t="shared" si="4"/>
        <v>91952929.834568068</v>
      </c>
      <c r="H120" s="14">
        <f>IF(A120&lt;Assumptions!$B$24, Assumptions!$B$22*Assumptions!$B$23, 0)</f>
        <v>72828000</v>
      </c>
      <c r="I120" s="13">
        <f t="shared" si="5"/>
        <v>19124929.834568068</v>
      </c>
      <c r="J120" s="13">
        <f>I120/(1+((1+Assumptions!$B$28)^(1/12)-1))^(A120+0.5)</f>
        <v>7461859.7945042606</v>
      </c>
    </row>
    <row r="121" spans="1:10" ht="14" x14ac:dyDescent="0.2">
      <c r="A121" s="10">
        <v>119</v>
      </c>
      <c r="B121" s="11">
        <v>117266.86049146199</v>
      </c>
      <c r="C121" s="11">
        <f xml:space="preserve"> B121 * EXP(-(Assumptions!$B$31 - 1) * 0.00421 * A121)</f>
        <v>117266.86049146199</v>
      </c>
      <c r="D121" s="12">
        <f t="shared" si="3"/>
        <v>3564912.5589404446</v>
      </c>
      <c r="E121" s="13">
        <f>D121*(Assumptions!$B$2*Assumptions!$B$8 + Assumptions!$B$3*Assumptions!$B$9 + Assumptions!$B$4*6*Assumptions!$B$10)</f>
        <v>143932631.58470869</v>
      </c>
      <c r="F121" s="13">
        <f>D121*(Assumptions!$B$14+Assumptions!$B$15+Assumptions!$B$16+Assumptions!$B$17+Assumptions!$B$18)</f>
        <v>52012074.234941088</v>
      </c>
      <c r="G121" s="13">
        <f t="shared" si="4"/>
        <v>91920557.349767596</v>
      </c>
      <c r="H121" s="14">
        <f>IF(A121&lt;Assumptions!$B$24, Assumptions!$B$22*Assumptions!$B$23, 0)</f>
        <v>72828000</v>
      </c>
      <c r="I121" s="13">
        <f t="shared" si="5"/>
        <v>19092557.349767596</v>
      </c>
      <c r="J121" s="13">
        <f>I121/(1+((1+Assumptions!$B$28)^(1/12)-1))^(A121+0.5)</f>
        <v>7390297.941611723</v>
      </c>
    </row>
    <row r="122" spans="1:10" ht="14" x14ac:dyDescent="0.2">
      <c r="A122" s="10">
        <v>120</v>
      </c>
      <c r="B122" s="11">
        <v>111564.229459632</v>
      </c>
      <c r="C122" s="11">
        <f xml:space="preserve"> B122 * EXP(-(Assumptions!$B$31 - 1) * 0.00421 * A122)</f>
        <v>111564.229459632</v>
      </c>
      <c r="D122" s="12">
        <f t="shared" si="3"/>
        <v>3391552.5755728125</v>
      </c>
      <c r="E122" s="13">
        <f>D122*(Assumptions!$B$2*Assumptions!$B$8 + Assumptions!$B$3*Assumptions!$B$9 + Assumptions!$B$4*6*Assumptions!$B$10)</f>
        <v>136933256.9282372</v>
      </c>
      <c r="F122" s="13">
        <f>D122*(Assumptions!$B$14+Assumptions!$B$15+Assumptions!$B$16+Assumptions!$B$17+Assumptions!$B$18)</f>
        <v>49482752.077607334</v>
      </c>
      <c r="G122" s="13">
        <f t="shared" si="4"/>
        <v>87450504.850629866</v>
      </c>
      <c r="H122" s="14">
        <f>IF(A122&lt;Assumptions!$B$24, Assumptions!$B$22*Assumptions!$B$23, 0)</f>
        <v>0</v>
      </c>
      <c r="I122" s="13">
        <f t="shared" si="5"/>
        <v>87450504.850629866</v>
      </c>
      <c r="J122" s="13">
        <f>I122/(1+((1+Assumptions!$B$28)^(1/12)-1))^(A122+0.5)</f>
        <v>33582326.075949796</v>
      </c>
    </row>
    <row r="123" spans="1:10" ht="14" x14ac:dyDescent="0.2">
      <c r="A123" s="10">
        <v>121</v>
      </c>
      <c r="B123" s="11">
        <v>107152.236349272</v>
      </c>
      <c r="C123" s="11">
        <f xml:space="preserve"> B123 * EXP(-(Assumptions!$B$31 - 1) * 0.00421 * A123)</f>
        <v>107152.236349272</v>
      </c>
      <c r="D123" s="12">
        <f t="shared" si="3"/>
        <v>3257427.9850178687</v>
      </c>
      <c r="E123" s="13">
        <f>D123*(Assumptions!$B$2*Assumptions!$B$8 + Assumptions!$B$3*Assumptions!$B$9 + Assumptions!$B$4*6*Assumptions!$B$10)</f>
        <v>131518003.40949947</v>
      </c>
      <c r="F123" s="13">
        <f>D123*(Assumptions!$B$14+Assumptions!$B$15+Assumptions!$B$16+Assumptions!$B$17+Assumptions!$B$18)</f>
        <v>47525874.301410705</v>
      </c>
      <c r="G123" s="13">
        <f t="shared" si="4"/>
        <v>83992129.108088762</v>
      </c>
      <c r="H123" s="14">
        <f>IF(A123&lt;Assumptions!$B$24, Assumptions!$B$22*Assumptions!$B$23, 0)</f>
        <v>0</v>
      </c>
      <c r="I123" s="13">
        <f t="shared" si="5"/>
        <v>83992129.108088762</v>
      </c>
      <c r="J123" s="13">
        <f>I123/(1+((1+Assumptions!$B$28)^(1/12)-1))^(A123+0.5)</f>
        <v>31999091.85417917</v>
      </c>
    </row>
    <row r="124" spans="1:10" ht="14" x14ac:dyDescent="0.2">
      <c r="A124" s="10">
        <v>122</v>
      </c>
      <c r="B124" s="11">
        <v>103525.84925704999</v>
      </c>
      <c r="C124" s="11">
        <f xml:space="preserve"> B124 * EXP(-(Assumptions!$B$31 - 1) * 0.00421 * A124)</f>
        <v>103525.84925704999</v>
      </c>
      <c r="D124" s="12">
        <f t="shared" si="3"/>
        <v>3147185.8174143196</v>
      </c>
      <c r="E124" s="13">
        <f>D124*(Assumptions!$B$2*Assumptions!$B$8 + Assumptions!$B$3*Assumptions!$B$9 + Assumptions!$B$4*6*Assumptions!$B$10)</f>
        <v>127066997.94093969</v>
      </c>
      <c r="F124" s="13">
        <f>D124*(Assumptions!$B$14+Assumptions!$B$15+Assumptions!$B$16+Assumptions!$B$17+Assumptions!$B$18)</f>
        <v>45917441.076074921</v>
      </c>
      <c r="G124" s="13">
        <f t="shared" si="4"/>
        <v>81149556.864864767</v>
      </c>
      <c r="H124" s="14">
        <f>IF(A124&lt;Assumptions!$B$24, Assumptions!$B$22*Assumptions!$B$23, 0)</f>
        <v>0</v>
      </c>
      <c r="I124" s="13">
        <f t="shared" si="5"/>
        <v>81149556.864864767</v>
      </c>
      <c r="J124" s="13">
        <f>I124/(1+((1+Assumptions!$B$28)^(1/12)-1))^(A124+0.5)</f>
        <v>30671557.143935367</v>
      </c>
    </row>
    <row r="125" spans="1:10" ht="14" x14ac:dyDescent="0.2">
      <c r="A125" s="10">
        <v>123</v>
      </c>
      <c r="B125" s="11">
        <v>100433.388974614</v>
      </c>
      <c r="C125" s="11">
        <f xml:space="preserve"> B125 * EXP(-(Assumptions!$B$31 - 1) * 0.00421 * A125)</f>
        <v>100433.388974614</v>
      </c>
      <c r="D125" s="12">
        <f t="shared" si="3"/>
        <v>3053175.0248282654</v>
      </c>
      <c r="E125" s="13">
        <f>D125*(Assumptions!$B$2*Assumptions!$B$8 + Assumptions!$B$3*Assumptions!$B$9 + Assumptions!$B$4*6*Assumptions!$B$10)</f>
        <v>123271330.99243627</v>
      </c>
      <c r="F125" s="13">
        <f>D125*(Assumptions!$B$14+Assumptions!$B$15+Assumptions!$B$16+Assumptions!$B$17+Assumptions!$B$18)</f>
        <v>44545823.61224439</v>
      </c>
      <c r="G125" s="13">
        <f t="shared" si="4"/>
        <v>78725507.380191892</v>
      </c>
      <c r="H125" s="14">
        <f>IF(A125&lt;Assumptions!$B$24, Assumptions!$B$22*Assumptions!$B$23, 0)</f>
        <v>0</v>
      </c>
      <c r="I125" s="13">
        <f t="shared" si="5"/>
        <v>78725507.380191892</v>
      </c>
      <c r="J125" s="13">
        <f>I125/(1+((1+Assumptions!$B$28)^(1/12)-1))^(A125+0.5)</f>
        <v>29519959.017913163</v>
      </c>
    </row>
    <row r="126" spans="1:10" ht="14" x14ac:dyDescent="0.2">
      <c r="A126" s="10">
        <v>124</v>
      </c>
      <c r="B126" s="11">
        <v>97729.563763307597</v>
      </c>
      <c r="C126" s="11">
        <f xml:space="preserve"> B126 * EXP(-(Assumptions!$B$31 - 1) * 0.00421 * A126)</f>
        <v>97729.563763307597</v>
      </c>
      <c r="D126" s="12">
        <f t="shared" si="3"/>
        <v>2970978.7384045506</v>
      </c>
      <c r="E126" s="13">
        <f>D126*(Assumptions!$B$2*Assumptions!$B$8 + Assumptions!$B$3*Assumptions!$B$9 + Assumptions!$B$4*6*Assumptions!$B$10)</f>
        <v>119952672.36733606</v>
      </c>
      <c r="F126" s="13">
        <f>D126*(Assumptions!$B$14+Assumptions!$B$15+Assumptions!$B$16+Assumptions!$B$17+Assumptions!$B$18)</f>
        <v>43346579.793322392</v>
      </c>
      <c r="G126" s="13">
        <f t="shared" si="4"/>
        <v>76606092.57401368</v>
      </c>
      <c r="H126" s="14">
        <f>IF(A126&lt;Assumptions!$B$24, Assumptions!$B$22*Assumptions!$B$23, 0)</f>
        <v>0</v>
      </c>
      <c r="I126" s="13">
        <f t="shared" si="5"/>
        <v>76606092.57401368</v>
      </c>
      <c r="J126" s="13">
        <f>I126/(1+((1+Assumptions!$B$28)^(1/12)-1))^(A126+0.5)</f>
        <v>28497988.209236939</v>
      </c>
    </row>
    <row r="127" spans="1:10" ht="14" x14ac:dyDescent="0.2">
      <c r="A127" s="10">
        <v>125</v>
      </c>
      <c r="B127" s="11">
        <v>95322.290924315297</v>
      </c>
      <c r="C127" s="11">
        <f xml:space="preserve"> B127 * EXP(-(Assumptions!$B$31 - 1) * 0.00421 * A127)</f>
        <v>95322.290924315297</v>
      </c>
      <c r="D127" s="12">
        <f t="shared" si="3"/>
        <v>2897797.6440991848</v>
      </c>
      <c r="E127" s="13">
        <f>D127*(Assumptions!$B$2*Assumptions!$B$8 + Assumptions!$B$3*Assumptions!$B$9 + Assumptions!$B$4*6*Assumptions!$B$10)</f>
        <v>116998000.32097578</v>
      </c>
      <c r="F127" s="13">
        <f>D127*(Assumptions!$B$14+Assumptions!$B$15+Assumptions!$B$16+Assumptions!$B$17+Assumptions!$B$18)</f>
        <v>42278867.627407104</v>
      </c>
      <c r="G127" s="13">
        <f t="shared" si="4"/>
        <v>74719132.693568677</v>
      </c>
      <c r="H127" s="14">
        <f>IF(A127&lt;Assumptions!$B$24, Assumptions!$B$22*Assumptions!$B$23, 0)</f>
        <v>0</v>
      </c>
      <c r="I127" s="13">
        <f t="shared" si="5"/>
        <v>74719132.693568677</v>
      </c>
      <c r="J127" s="13">
        <f>I127/(1+((1+Assumptions!$B$28)^(1/12)-1))^(A127+0.5)</f>
        <v>27576130.345578864</v>
      </c>
    </row>
    <row r="128" spans="1:10" ht="14" x14ac:dyDescent="0.2">
      <c r="A128" s="10">
        <v>126</v>
      </c>
      <c r="B128" s="11">
        <v>93149.284879414205</v>
      </c>
      <c r="C128" s="11">
        <f xml:space="preserve"> B128 * EXP(-(Assumptions!$B$31 - 1) * 0.00421 * A128)</f>
        <v>93149.284879414205</v>
      </c>
      <c r="D128" s="12">
        <f t="shared" si="3"/>
        <v>2831738.2603341918</v>
      </c>
      <c r="E128" s="13">
        <f>D128*(Assumptions!$B$2*Assumptions!$B$8 + Assumptions!$B$3*Assumptions!$B$9 + Assumptions!$B$4*6*Assumptions!$B$10)</f>
        <v>114330865.91334096</v>
      </c>
      <c r="F128" s="13">
        <f>D128*(Assumptions!$B$14+Assumptions!$B$15+Assumptions!$B$16+Assumptions!$B$17+Assumptions!$B$18)</f>
        <v>41315061.21827586</v>
      </c>
      <c r="G128" s="13">
        <f t="shared" si="4"/>
        <v>73015804.695065096</v>
      </c>
      <c r="H128" s="14">
        <f>IF(A128&lt;Assumptions!$B$24, Assumptions!$B$22*Assumptions!$B$23, 0)</f>
        <v>0</v>
      </c>
      <c r="I128" s="13">
        <f t="shared" si="5"/>
        <v>73015804.695065096</v>
      </c>
      <c r="J128" s="13">
        <f>I128/(1+((1+Assumptions!$B$28)^(1/12)-1))^(A128+0.5)</f>
        <v>26734310.420987248</v>
      </c>
    </row>
    <row r="129" spans="1:10" ht="14" x14ac:dyDescent="0.2">
      <c r="A129" s="10">
        <v>127</v>
      </c>
      <c r="B129" s="11">
        <v>91166.332675559999</v>
      </c>
      <c r="C129" s="11">
        <f xml:space="preserve"> B129 * EXP(-(Assumptions!$B$31 - 1) * 0.00421 * A129)</f>
        <v>91166.332675559999</v>
      </c>
      <c r="D129" s="12">
        <f t="shared" si="3"/>
        <v>2771456.513337024</v>
      </c>
      <c r="E129" s="13">
        <f>D129*(Assumptions!$B$2*Assumptions!$B$8 + Assumptions!$B$3*Assumptions!$B$9 + Assumptions!$B$4*6*Assumptions!$B$10)</f>
        <v>111897002.4346797</v>
      </c>
      <c r="F129" s="13">
        <f>D129*(Assumptions!$B$14+Assumptions!$B$15+Assumptions!$B$16+Assumptions!$B$17+Assumptions!$B$18)</f>
        <v>40435550.529587179</v>
      </c>
      <c r="G129" s="13">
        <f t="shared" si="4"/>
        <v>71461451.905092523</v>
      </c>
      <c r="H129" s="14">
        <f>IF(A129&lt;Assumptions!$B$24, Assumptions!$B$22*Assumptions!$B$23, 0)</f>
        <v>0</v>
      </c>
      <c r="I129" s="13">
        <f t="shared" si="5"/>
        <v>71461451.905092523</v>
      </c>
      <c r="J129" s="13">
        <f>I129/(1+((1+Assumptions!$B$28)^(1/12)-1))^(A129+0.5)</f>
        <v>25958198.902219478</v>
      </c>
    </row>
    <row r="130" spans="1:10" ht="14" x14ac:dyDescent="0.2">
      <c r="A130" s="10">
        <v>128</v>
      </c>
      <c r="B130" s="11">
        <v>89340.856823871</v>
      </c>
      <c r="C130" s="11">
        <f xml:space="preserve"> B130 * EXP(-(Assumptions!$B$31 - 1) * 0.00421 * A130)</f>
        <v>89340.856823871</v>
      </c>
      <c r="D130" s="12">
        <f t="shared" si="3"/>
        <v>2715962.0474456782</v>
      </c>
      <c r="E130" s="13">
        <f>D130*(Assumptions!$B$2*Assumptions!$B$8 + Assumptions!$B$3*Assumptions!$B$9 + Assumptions!$B$4*6*Assumptions!$B$10)</f>
        <v>109656424.47320978</v>
      </c>
      <c r="F130" s="13">
        <f>D130*(Assumptions!$B$14+Assumptions!$B$15+Assumptions!$B$16+Assumptions!$B$17+Assumptions!$B$18)</f>
        <v>39625886.272232443</v>
      </c>
      <c r="G130" s="13">
        <f t="shared" si="4"/>
        <v>70030538.20097734</v>
      </c>
      <c r="H130" s="14">
        <f>IF(A130&lt;Assumptions!$B$24, Assumptions!$B$22*Assumptions!$B$23, 0)</f>
        <v>0</v>
      </c>
      <c r="I130" s="13">
        <f t="shared" si="5"/>
        <v>70030538.20097734</v>
      </c>
      <c r="J130" s="13">
        <f>I130/(1+((1+Assumptions!$B$28)^(1/12)-1))^(A130+0.5)</f>
        <v>25237178.170574542</v>
      </c>
    </row>
    <row r="131" spans="1:10" ht="14" x14ac:dyDescent="0.2">
      <c r="A131" s="10">
        <v>129</v>
      </c>
      <c r="B131" s="11">
        <v>87648.127309257907</v>
      </c>
      <c r="C131" s="11">
        <f xml:space="preserve"> B131 * EXP(-(Assumptions!$B$31 - 1) * 0.00421 * A131)</f>
        <v>87648.127309257907</v>
      </c>
      <c r="D131" s="12">
        <f t="shared" ref="D131:D181" si="6">C131*30.4</f>
        <v>2664503.0702014402</v>
      </c>
      <c r="E131" s="13">
        <f>D131*(Assumptions!$B$2*Assumptions!$B$8 + Assumptions!$B$3*Assumptions!$B$9 + Assumptions!$B$4*6*Assumptions!$B$10)</f>
        <v>107578778.55876914</v>
      </c>
      <c r="F131" s="13">
        <f>D131*(Assumptions!$B$14+Assumptions!$B$15+Assumptions!$B$16+Assumptions!$B$17+Assumptions!$B$18)</f>
        <v>38875099.794239014</v>
      </c>
      <c r="G131" s="13">
        <f t="shared" ref="G131:G181" si="7">E131-F131</f>
        <v>68703678.764530122</v>
      </c>
      <c r="H131" s="14">
        <f>IF(A131&lt;Assumptions!$B$24, Assumptions!$B$22*Assumptions!$B$23, 0)</f>
        <v>0</v>
      </c>
      <c r="I131" s="13">
        <f t="shared" ref="I131:I181" si="8">E131-F131-H131</f>
        <v>68703678.764530122</v>
      </c>
      <c r="J131" s="13">
        <f>I131/(1+((1+Assumptions!$B$28)^(1/12)-1))^(A131+0.5)</f>
        <v>24563142.711354908</v>
      </c>
    </row>
    <row r="132" spans="1:10" ht="14" x14ac:dyDescent="0.2">
      <c r="A132" s="10">
        <v>130</v>
      </c>
      <c r="B132" s="11">
        <v>86068.908015690293</v>
      </c>
      <c r="C132" s="11">
        <f xml:space="preserve"> B132 * EXP(-(Assumptions!$B$31 - 1) * 0.00421 * A132)</f>
        <v>86068.908015690293</v>
      </c>
      <c r="D132" s="12">
        <f t="shared" si="6"/>
        <v>2616494.8036769847</v>
      </c>
      <c r="E132" s="13">
        <f>D132*(Assumptions!$B$2*Assumptions!$B$8 + Assumptions!$B$3*Assumptions!$B$9 + Assumptions!$B$4*6*Assumptions!$B$10)</f>
        <v>105640454.39949754</v>
      </c>
      <c r="F132" s="13">
        <f>D132*(Assumptions!$B$14+Assumptions!$B$15+Assumptions!$B$16+Assumptions!$B$17+Assumptions!$B$18)</f>
        <v>38174659.185647205</v>
      </c>
      <c r="G132" s="13">
        <f t="shared" si="7"/>
        <v>67465795.213850334</v>
      </c>
      <c r="H132" s="14">
        <f>IF(A132&lt;Assumptions!$B$24, Assumptions!$B$22*Assumptions!$B$23, 0)</f>
        <v>0</v>
      </c>
      <c r="I132" s="13">
        <f t="shared" si="8"/>
        <v>67465795.213850334</v>
      </c>
      <c r="J132" s="13">
        <f>I132/(1+((1+Assumptions!$B$28)^(1/12)-1))^(A132+0.5)</f>
        <v>23929751.717456415</v>
      </c>
    </row>
    <row r="133" spans="1:10" ht="14" x14ac:dyDescent="0.2">
      <c r="A133" s="10">
        <v>131</v>
      </c>
      <c r="B133" s="11">
        <v>84587.928819192399</v>
      </c>
      <c r="C133" s="11">
        <f xml:space="preserve"> B133 * EXP(-(Assumptions!$B$31 - 1) * 0.00421 * A133)</f>
        <v>84587.928819192399</v>
      </c>
      <c r="D133" s="12">
        <f t="shared" si="6"/>
        <v>2571473.0361034488</v>
      </c>
      <c r="E133" s="13">
        <f>D133*(Assumptions!$B$2*Assumptions!$B$8 + Assumptions!$B$3*Assumptions!$B$9 + Assumptions!$B$4*6*Assumptions!$B$10)</f>
        <v>103822709.53806955</v>
      </c>
      <c r="F133" s="13">
        <f>D133*(Assumptions!$B$14+Assumptions!$B$15+Assumptions!$B$16+Assumptions!$B$17+Assumptions!$B$18)</f>
        <v>37517791.596749321</v>
      </c>
      <c r="G133" s="13">
        <f t="shared" si="7"/>
        <v>66304917.941320226</v>
      </c>
      <c r="H133" s="14">
        <f>IF(A133&lt;Assumptions!$B$24, Assumptions!$B$22*Assumptions!$B$23, 0)</f>
        <v>0</v>
      </c>
      <c r="I133" s="13">
        <f t="shared" si="8"/>
        <v>66304917.941320226</v>
      </c>
      <c r="J133" s="13">
        <f>I133/(1+((1+Assumptions!$B$28)^(1/12)-1))^(A133+0.5)</f>
        <v>23331942.656723138</v>
      </c>
    </row>
    <row r="134" spans="1:10" ht="14" x14ac:dyDescent="0.2">
      <c r="A134" s="10">
        <v>132</v>
      </c>
      <c r="B134" s="11">
        <v>83192.857114718194</v>
      </c>
      <c r="C134" s="11">
        <f xml:space="preserve"> B134 * EXP(-(Assumptions!$B$31 - 1) * 0.00421 * A134)</f>
        <v>83192.857114718194</v>
      </c>
      <c r="D134" s="12">
        <f t="shared" si="6"/>
        <v>2529062.8562874328</v>
      </c>
      <c r="E134" s="13">
        <f>D134*(Assumptions!$B$2*Assumptions!$B$8 + Assumptions!$B$3*Assumptions!$B$9 + Assumptions!$B$4*6*Assumptions!$B$10)</f>
        <v>102110407.01003386</v>
      </c>
      <c r="F134" s="13">
        <f>D134*(Assumptions!$B$14+Assumptions!$B$15+Assumptions!$B$16+Assumptions!$B$17+Assumptions!$B$18)</f>
        <v>36899027.073233642</v>
      </c>
      <c r="G134" s="13">
        <f t="shared" si="7"/>
        <v>65211379.936800219</v>
      </c>
      <c r="H134" s="14">
        <f>IF(A134&lt;Assumptions!$B$24, Assumptions!$B$22*Assumptions!$B$23, 0)</f>
        <v>0</v>
      </c>
      <c r="I134" s="13">
        <f t="shared" si="8"/>
        <v>65211379.936800219</v>
      </c>
      <c r="J134" s="13">
        <f>I134/(1+((1+Assumptions!$B$28)^(1/12)-1))^(A134+0.5)</f>
        <v>22765603.018330991</v>
      </c>
    </row>
    <row r="135" spans="1:10" ht="14" x14ac:dyDescent="0.2">
      <c r="A135" s="10">
        <v>133</v>
      </c>
      <c r="B135" s="11">
        <v>81873.584123097695</v>
      </c>
      <c r="C135" s="11">
        <f xml:space="preserve"> B135 * EXP(-(Assumptions!$B$31 - 1) * 0.00421 * A135)</f>
        <v>81873.584123097695</v>
      </c>
      <c r="D135" s="12">
        <f t="shared" si="6"/>
        <v>2488956.9573421697</v>
      </c>
      <c r="E135" s="13">
        <f>D135*(Assumptions!$B$2*Assumptions!$B$8 + Assumptions!$B$3*Assumptions!$B$9 + Assumptions!$B$4*6*Assumptions!$B$10)</f>
        <v>100491139.36129865</v>
      </c>
      <c r="F135" s="13">
        <f>D135*(Assumptions!$B$14+Assumptions!$B$15+Assumptions!$B$16+Assumptions!$B$17+Assumptions!$B$18)</f>
        <v>36313882.007622257</v>
      </c>
      <c r="G135" s="13">
        <f t="shared" si="7"/>
        <v>64177257.353676394</v>
      </c>
      <c r="H135" s="14">
        <f>IF(A135&lt;Assumptions!$B$24, Assumptions!$B$22*Assumptions!$B$23, 0)</f>
        <v>0</v>
      </c>
      <c r="I135" s="13">
        <f t="shared" si="8"/>
        <v>64177257.353676394</v>
      </c>
      <c r="J135" s="13">
        <f>I135/(1+((1+Assumptions!$B$28)^(1/12)-1))^(A135+0.5)</f>
        <v>22227341.957967684</v>
      </c>
    </row>
    <row r="136" spans="1:10" ht="14" x14ac:dyDescent="0.2">
      <c r="A136" s="10">
        <v>134</v>
      </c>
      <c r="B136" s="11">
        <v>80621.716598211104</v>
      </c>
      <c r="C136" s="11">
        <f xml:space="preserve"> B136 * EXP(-(Assumptions!$B$31 - 1) * 0.00421 * A136)</f>
        <v>80621.716598211104</v>
      </c>
      <c r="D136" s="12">
        <f t="shared" si="6"/>
        <v>2450900.1845856174</v>
      </c>
      <c r="E136" s="13">
        <f>D136*(Assumptions!$B$2*Assumptions!$B$8 + Assumptions!$B$3*Assumptions!$B$9 + Assumptions!$B$4*6*Assumptions!$B$10)</f>
        <v>98954604.772607401</v>
      </c>
      <c r="F136" s="13">
        <f>D136*(Assumptions!$B$14+Assumptions!$B$15+Assumptions!$B$16+Assumptions!$B$17+Assumptions!$B$18)</f>
        <v>35758633.693104155</v>
      </c>
      <c r="G136" s="13">
        <f t="shared" si="7"/>
        <v>63195971.079503246</v>
      </c>
      <c r="H136" s="14">
        <f>IF(A136&lt;Assumptions!$B$24, Assumptions!$B$22*Assumptions!$B$23, 0)</f>
        <v>0</v>
      </c>
      <c r="I136" s="13">
        <f t="shared" si="8"/>
        <v>63195971.079503246</v>
      </c>
      <c r="J136" s="13">
        <f>I136/(1+((1+Assumptions!$B$28)^(1/12)-1))^(A136+0.5)</f>
        <v>21714327.259854943</v>
      </c>
    </row>
    <row r="137" spans="1:10" ht="14" x14ac:dyDescent="0.2">
      <c r="A137" s="10">
        <v>135</v>
      </c>
      <c r="B137" s="11">
        <v>79430.206600869496</v>
      </c>
      <c r="C137" s="11">
        <f xml:space="preserve"> B137 * EXP(-(Assumptions!$B$31 - 1) * 0.00421 * A137)</f>
        <v>79430.206600869496</v>
      </c>
      <c r="D137" s="12">
        <f t="shared" si="6"/>
        <v>2414678.2806664328</v>
      </c>
      <c r="E137" s="13">
        <f>D137*(Assumptions!$B$2*Assumptions!$B$8 + Assumptions!$B$3*Assumptions!$B$9 + Assumptions!$B$4*6*Assumptions!$B$10)</f>
        <v>97492152.646251112</v>
      </c>
      <c r="F137" s="13">
        <f>D137*(Assumptions!$B$14+Assumptions!$B$15+Assumptions!$B$16+Assumptions!$B$17+Assumptions!$B$18)</f>
        <v>35230156.114923254</v>
      </c>
      <c r="G137" s="13">
        <f t="shared" si="7"/>
        <v>62261996.531327859</v>
      </c>
      <c r="H137" s="14">
        <f>IF(A137&lt;Assumptions!$B$24, Assumptions!$B$22*Assumptions!$B$23, 0)</f>
        <v>0</v>
      </c>
      <c r="I137" s="13">
        <f t="shared" si="8"/>
        <v>62261996.531327859</v>
      </c>
      <c r="J137" s="13">
        <f>I137/(1+((1+Assumptions!$B$28)^(1/12)-1))^(A137+0.5)</f>
        <v>21224166.290996011</v>
      </c>
    </row>
    <row r="138" spans="1:10" ht="14" x14ac:dyDescent="0.2">
      <c r="A138" s="10">
        <v>136</v>
      </c>
      <c r="B138" s="11">
        <v>78293.076497138405</v>
      </c>
      <c r="C138" s="11">
        <f xml:space="preserve"> B138 * EXP(-(Assumptions!$B$31 - 1) * 0.00421 * A138)</f>
        <v>78293.076497138405</v>
      </c>
      <c r="D138" s="12">
        <f t="shared" si="6"/>
        <v>2380109.5255130073</v>
      </c>
      <c r="E138" s="13">
        <f>D138*(Assumptions!$B$2*Assumptions!$B$8 + Assumptions!$B$3*Assumptions!$B$9 + Assumptions!$B$4*6*Assumptions!$B$10)</f>
        <v>96096446.070682585</v>
      </c>
      <c r="F138" s="13">
        <f>D138*(Assumptions!$B$14+Assumptions!$B$15+Assumptions!$B$16+Assumptions!$B$17+Assumptions!$B$18)</f>
        <v>34725797.977234773</v>
      </c>
      <c r="G138" s="13">
        <f t="shared" si="7"/>
        <v>61370648.093447812</v>
      </c>
      <c r="H138" s="14">
        <f>IF(A138&lt;Assumptions!$B$24, Assumptions!$B$22*Assumptions!$B$23, 0)</f>
        <v>0</v>
      </c>
      <c r="I138" s="13">
        <f t="shared" si="8"/>
        <v>61370648.093447812</v>
      </c>
      <c r="J138" s="13">
        <f>I138/(1+((1+Assumptions!$B$28)^(1/12)-1))^(A138+0.5)</f>
        <v>20754817.356673751</v>
      </c>
    </row>
    <row r="139" spans="1:10" ht="14" x14ac:dyDescent="0.2">
      <c r="A139" s="10">
        <v>137</v>
      </c>
      <c r="B139" s="11">
        <v>77205.211128452196</v>
      </c>
      <c r="C139" s="11">
        <f xml:space="preserve"> B139 * EXP(-(Assumptions!$B$31 - 1) * 0.00421 * A139)</f>
        <v>77205.211128452196</v>
      </c>
      <c r="D139" s="12">
        <f t="shared" si="6"/>
        <v>2347038.4183049467</v>
      </c>
      <c r="E139" s="13">
        <f>D139*(Assumptions!$B$2*Assumptions!$B$8 + Assumptions!$B$3*Assumptions!$B$9 + Assumptions!$B$4*6*Assumptions!$B$10)</f>
        <v>94761206.731378585</v>
      </c>
      <c r="F139" s="13">
        <f>D139*(Assumptions!$B$14+Assumptions!$B$15+Assumptions!$B$16+Assumptions!$B$17+Assumptions!$B$18)</f>
        <v>34243290.523069173</v>
      </c>
      <c r="G139" s="13">
        <f t="shared" si="7"/>
        <v>60517916.208309412</v>
      </c>
      <c r="H139" s="14">
        <f>IF(A139&lt;Assumptions!$B$24, Assumptions!$B$22*Assumptions!$B$23, 0)</f>
        <v>0</v>
      </c>
      <c r="I139" s="13">
        <f t="shared" si="8"/>
        <v>60517916.208309412</v>
      </c>
      <c r="J139" s="13">
        <f>I139/(1+((1+Assumptions!$B$28)^(1/12)-1))^(A139+0.5)</f>
        <v>20304522.543196969</v>
      </c>
    </row>
    <row r="140" spans="1:10" ht="14" x14ac:dyDescent="0.2">
      <c r="A140" s="10">
        <v>138</v>
      </c>
      <c r="B140" s="11">
        <v>76162.198316731301</v>
      </c>
      <c r="C140" s="11">
        <f xml:space="preserve"> B140 * EXP(-(Assumptions!$B$31 - 1) * 0.00421 * A140)</f>
        <v>76162.198316731301</v>
      </c>
      <c r="D140" s="12">
        <f t="shared" si="6"/>
        <v>2315330.8288286314</v>
      </c>
      <c r="E140" s="13">
        <f>D140*(Assumptions!$B$2*Assumptions!$B$8 + Assumptions!$B$3*Assumptions!$B$9 + Assumptions!$B$4*6*Assumptions!$B$10)</f>
        <v>93481019.147790253</v>
      </c>
      <c r="F140" s="13">
        <f>D140*(Assumptions!$B$14+Assumptions!$B$15+Assumptions!$B$16+Assumptions!$B$17+Assumptions!$B$18)</f>
        <v>33780676.792609729</v>
      </c>
      <c r="G140" s="13">
        <f t="shared" si="7"/>
        <v>59700342.355180524</v>
      </c>
      <c r="H140" s="14">
        <f>IF(A140&lt;Assumptions!$B$24, Assumptions!$B$22*Assumptions!$B$23, 0)</f>
        <v>0</v>
      </c>
      <c r="I140" s="13">
        <f t="shared" si="8"/>
        <v>59700342.355180524</v>
      </c>
      <c r="J140" s="13">
        <f>I140/(1+((1+Assumptions!$B$28)^(1/12)-1))^(A140+0.5)</f>
        <v>19871756.052469607</v>
      </c>
    </row>
    <row r="141" spans="1:10" ht="14" x14ac:dyDescent="0.2">
      <c r="A141" s="10">
        <v>139</v>
      </c>
      <c r="B141" s="11">
        <v>75160.204771099598</v>
      </c>
      <c r="C141" s="11">
        <f xml:space="preserve"> B141 * EXP(-(Assumptions!$B$31 - 1) * 0.00421 * A141)</f>
        <v>75160.204771099598</v>
      </c>
      <c r="D141" s="12">
        <f t="shared" si="6"/>
        <v>2284870.2250414276</v>
      </c>
      <c r="E141" s="13">
        <f>D141*(Assumptions!$B$2*Assumptions!$B$8 + Assumptions!$B$3*Assumptions!$B$9 + Assumptions!$B$4*6*Assumptions!$B$10)</f>
        <v>92251178.362002656</v>
      </c>
      <c r="F141" s="13">
        <f>D141*(Assumptions!$B$14+Assumptions!$B$15+Assumptions!$B$16+Assumptions!$B$17+Assumptions!$B$18)</f>
        <v>33336256.583354428</v>
      </c>
      <c r="G141" s="13">
        <f t="shared" si="7"/>
        <v>58914921.778648227</v>
      </c>
      <c r="H141" s="14">
        <f>IF(A141&lt;Assumptions!$B$24, Assumptions!$B$22*Assumptions!$B$23, 0)</f>
        <v>0</v>
      </c>
      <c r="I141" s="13">
        <f t="shared" si="8"/>
        <v>58914921.778648227</v>
      </c>
      <c r="J141" s="13">
        <f>I141/(1+((1+Assumptions!$B$28)^(1/12)-1))^(A141+0.5)</f>
        <v>19455183.905175246</v>
      </c>
    </row>
    <row r="142" spans="1:10" ht="14" x14ac:dyDescent="0.2">
      <c r="A142" s="10">
        <v>140</v>
      </c>
      <c r="B142" s="11">
        <v>74195.878337978298</v>
      </c>
      <c r="C142" s="11">
        <f xml:space="preserve"> B142 * EXP(-(Assumptions!$B$31 - 1) * 0.00421 * A142)</f>
        <v>74195.878337978298</v>
      </c>
      <c r="D142" s="12">
        <f t="shared" si="6"/>
        <v>2255554.7014745399</v>
      </c>
      <c r="E142" s="13">
        <f>D142*(Assumptions!$B$2*Assumptions!$B$8 + Assumptions!$B$3*Assumptions!$B$9 + Assumptions!$B$4*6*Assumptions!$B$10)</f>
        <v>91067569.961094275</v>
      </c>
      <c r="F142" s="13">
        <f>D142*(Assumptions!$B$14+Assumptions!$B$15+Assumptions!$B$16+Assumptions!$B$17+Assumptions!$B$18)</f>
        <v>32908543.094513535</v>
      </c>
      <c r="G142" s="13">
        <f t="shared" si="7"/>
        <v>58159026.86658074</v>
      </c>
      <c r="H142" s="14">
        <f>IF(A142&lt;Assumptions!$B$24, Assumptions!$B$22*Assumptions!$B$23, 0)</f>
        <v>0</v>
      </c>
      <c r="I142" s="13">
        <f t="shared" si="8"/>
        <v>58159026.86658074</v>
      </c>
      <c r="J142" s="13">
        <f>I142/(1+((1+Assumptions!$B$28)^(1/12)-1))^(A142+0.5)</f>
        <v>19053632.120096032</v>
      </c>
    </row>
    <row r="143" spans="1:10" ht="14" x14ac:dyDescent="0.2">
      <c r="A143" s="10">
        <v>141</v>
      </c>
      <c r="B143" s="11">
        <v>73266.270136319494</v>
      </c>
      <c r="C143" s="11">
        <f xml:space="preserve"> B143 * EXP(-(Assumptions!$B$31 - 1) * 0.00421 * A143)</f>
        <v>73266.270136319494</v>
      </c>
      <c r="D143" s="12">
        <f t="shared" si="6"/>
        <v>2227294.6121441126</v>
      </c>
      <c r="E143" s="13">
        <f>D143*(Assumptions!$B$2*Assumptions!$B$8 + Assumptions!$B$3*Assumptions!$B$9 + Assumptions!$B$4*6*Assumptions!$B$10)</f>
        <v>89926574.50639613</v>
      </c>
      <c r="F143" s="13">
        <f>D143*(Assumptions!$B$14+Assumptions!$B$15+Assumptions!$B$16+Assumptions!$B$17+Assumptions!$B$18)</f>
        <v>32496228.391182601</v>
      </c>
      <c r="G143" s="13">
        <f t="shared" si="7"/>
        <v>57430346.115213528</v>
      </c>
      <c r="H143" s="14">
        <f>IF(A143&lt;Assumptions!$B$24, Assumptions!$B$22*Assumptions!$B$23, 0)</f>
        <v>0</v>
      </c>
      <c r="I143" s="13">
        <f t="shared" si="8"/>
        <v>57430346.115213528</v>
      </c>
      <c r="J143" s="13">
        <f>I143/(1+((1+Assumptions!$B$28)^(1/12)-1))^(A143+0.5)</f>
        <v>18666061.303980816</v>
      </c>
    </row>
    <row r="144" spans="1:10" ht="14" x14ac:dyDescent="0.2">
      <c r="A144" s="10">
        <v>142</v>
      </c>
      <c r="B144" s="11">
        <v>72368.771898763298</v>
      </c>
      <c r="C144" s="11">
        <f xml:space="preserve"> B144 * EXP(-(Assumptions!$B$31 - 1) * 0.00421 * A144)</f>
        <v>72368.771898763298</v>
      </c>
      <c r="D144" s="12">
        <f t="shared" si="6"/>
        <v>2200010.6657224041</v>
      </c>
      <c r="E144" s="13">
        <f>D144*(Assumptions!$B$2*Assumptions!$B$8 + Assumptions!$B$3*Assumptions!$B$9 + Assumptions!$B$4*6*Assumptions!$B$10)</f>
        <v>88824990.626408935</v>
      </c>
      <c r="F144" s="13">
        <f>D144*(Assumptions!$B$14+Assumptions!$B$15+Assumptions!$B$16+Assumptions!$B$17+Assumptions!$B$18)</f>
        <v>32098155.612889875</v>
      </c>
      <c r="G144" s="13">
        <f t="shared" si="7"/>
        <v>56726835.013519064</v>
      </c>
      <c r="H144" s="14">
        <f>IF(A144&lt;Assumptions!$B$24, Assumptions!$B$22*Assumptions!$B$23, 0)</f>
        <v>0</v>
      </c>
      <c r="I144" s="13">
        <f t="shared" si="8"/>
        <v>56726835.013519064</v>
      </c>
      <c r="J144" s="13">
        <f>I144/(1+((1+Assumptions!$B$28)^(1/12)-1))^(A144+0.5)</f>
        <v>18291546.1529641</v>
      </c>
    </row>
    <row r="145" spans="1:10" ht="14" x14ac:dyDescent="0.2">
      <c r="A145" s="10">
        <v>143</v>
      </c>
      <c r="B145" s="11">
        <v>71501.065078594693</v>
      </c>
      <c r="C145" s="11">
        <f xml:space="preserve"> B145 * EXP(-(Assumptions!$B$31 - 1) * 0.00421 * A145)</f>
        <v>71501.065078594693</v>
      </c>
      <c r="D145" s="12">
        <f t="shared" si="6"/>
        <v>2173632.3783892784</v>
      </c>
      <c r="E145" s="13">
        <f>D145*(Assumptions!$B$2*Assumptions!$B$8 + Assumptions!$B$3*Assumptions!$B$9 + Assumptions!$B$4*6*Assumptions!$B$10)</f>
        <v>87759972.550991461</v>
      </c>
      <c r="F145" s="13">
        <f>D145*(Assumptions!$B$14+Assumptions!$B$15+Assumptions!$B$16+Assumptions!$B$17+Assumptions!$B$18)</f>
        <v>31713296.400699571</v>
      </c>
      <c r="G145" s="13">
        <f t="shared" si="7"/>
        <v>56046676.15029189</v>
      </c>
      <c r="H145" s="14">
        <f>IF(A145&lt;Assumptions!$B$24, Assumptions!$B$22*Assumptions!$B$23, 0)</f>
        <v>0</v>
      </c>
      <c r="I145" s="13">
        <f t="shared" si="8"/>
        <v>56046676.15029189</v>
      </c>
      <c r="J145" s="13">
        <f>I145/(1+((1+Assumptions!$B$28)^(1/12)-1))^(A145+0.5)</f>
        <v>17929258.761713788</v>
      </c>
    </row>
    <row r="146" spans="1:10" ht="14" x14ac:dyDescent="0.2">
      <c r="A146" s="10">
        <v>144</v>
      </c>
      <c r="B146" s="11">
        <v>70661.079159438101</v>
      </c>
      <c r="C146" s="11">
        <f xml:space="preserve"> B146 * EXP(-(Assumptions!$B$31 - 1) * 0.00421 * A146)</f>
        <v>70661.079159438101</v>
      </c>
      <c r="D146" s="12">
        <f t="shared" si="6"/>
        <v>2148096.8064469183</v>
      </c>
      <c r="E146" s="13">
        <f>D146*(Assumptions!$B$2*Assumptions!$B$8 + Assumptions!$B$3*Assumptions!$B$9 + Assumptions!$B$4*6*Assumptions!$B$10)</f>
        <v>86728978.940933049</v>
      </c>
      <c r="F146" s="13">
        <f>D146*(Assumptions!$B$14+Assumptions!$B$15+Assumptions!$B$16+Assumptions!$B$17+Assumptions!$B$18)</f>
        <v>31340732.406060539</v>
      </c>
      <c r="G146" s="13">
        <f t="shared" si="7"/>
        <v>55388246.53487251</v>
      </c>
      <c r="H146" s="14">
        <f>IF(A146&lt;Assumptions!$B$24, Assumptions!$B$22*Assumptions!$B$23, 0)</f>
        <v>0</v>
      </c>
      <c r="I146" s="13">
        <f t="shared" si="8"/>
        <v>55388246.53487251</v>
      </c>
      <c r="J146" s="13">
        <f>I146/(1+((1+Assumptions!$B$28)^(1/12)-1))^(A146+0.5)</f>
        <v>17578454.916588932</v>
      </c>
    </row>
    <row r="147" spans="1:10" ht="14" x14ac:dyDescent="0.2">
      <c r="A147" s="10">
        <v>145</v>
      </c>
      <c r="B147" s="11">
        <v>69846.957234658999</v>
      </c>
      <c r="C147" s="11">
        <f xml:space="preserve"> B147 * EXP(-(Assumptions!$B$31 - 1) * 0.00421 * A147)</f>
        <v>69846.957234658999</v>
      </c>
      <c r="D147" s="12">
        <f t="shared" si="6"/>
        <v>2123347.4999336335</v>
      </c>
      <c r="E147" s="13">
        <f>D147*(Assumptions!$B$2*Assumptions!$B$8 + Assumptions!$B$3*Assumptions!$B$9 + Assumptions!$B$4*6*Assumptions!$B$10)</f>
        <v>85729730.64032048</v>
      </c>
      <c r="F147" s="13">
        <f>D147*(Assumptions!$B$14+Assumptions!$B$15+Assumptions!$B$16+Assumptions!$B$17+Assumptions!$B$18)</f>
        <v>30979640.024031714</v>
      </c>
      <c r="G147" s="13">
        <f t="shared" si="7"/>
        <v>54750090.616288766</v>
      </c>
      <c r="H147" s="14">
        <f>IF(A147&lt;Assumptions!$B$24, Assumptions!$B$22*Assumptions!$B$23, 0)</f>
        <v>0</v>
      </c>
      <c r="I147" s="13">
        <f t="shared" si="8"/>
        <v>54750090.616288766</v>
      </c>
      <c r="J147" s="13">
        <f>I147/(1+((1+Assumptions!$B$28)^(1/12)-1))^(A147+0.5)</f>
        <v>17238462.750575144</v>
      </c>
    </row>
    <row r="148" spans="1:10" ht="14" x14ac:dyDescent="0.2">
      <c r="A148" s="10">
        <v>146</v>
      </c>
      <c r="B148" s="11">
        <v>69057.027364384005</v>
      </c>
      <c r="C148" s="11">
        <f xml:space="preserve"> B148 * EXP(-(Assumptions!$B$31 - 1) * 0.00421 * A148)</f>
        <v>69057.027364384005</v>
      </c>
      <c r="D148" s="12">
        <f t="shared" si="6"/>
        <v>2099333.6318772738</v>
      </c>
      <c r="E148" s="13">
        <f>D148*(Assumptions!$B$2*Assumptions!$B$8 + Assumptions!$B$3*Assumptions!$B$9 + Assumptions!$B$4*6*Assumptions!$B$10)</f>
        <v>84760175.520318568</v>
      </c>
      <c r="F148" s="13">
        <f>D148*(Assumptions!$B$14+Assumptions!$B$15+Assumptions!$B$16+Assumptions!$B$17+Assumptions!$B$18)</f>
        <v>30629277.689089425</v>
      </c>
      <c r="G148" s="13">
        <f t="shared" si="7"/>
        <v>54130897.831229143</v>
      </c>
      <c r="H148" s="14">
        <f>IF(A148&lt;Assumptions!$B$24, Assumptions!$B$22*Assumptions!$B$23, 0)</f>
        <v>0</v>
      </c>
      <c r="I148" s="13">
        <f t="shared" si="8"/>
        <v>54130897.831229143</v>
      </c>
      <c r="J148" s="13">
        <f>I148/(1+((1+Assumptions!$B$28)^(1/12)-1))^(A148+0.5)</f>
        <v>16908673.280314568</v>
      </c>
    </row>
    <row r="149" spans="1:10" ht="14" x14ac:dyDescent="0.2">
      <c r="A149" s="10">
        <v>147</v>
      </c>
      <c r="B149" s="11">
        <v>68289.777423731095</v>
      </c>
      <c r="C149" s="11">
        <f xml:space="preserve"> B149 * EXP(-(Assumptions!$B$31 - 1) * 0.00421 * A149)</f>
        <v>68289.777423731095</v>
      </c>
      <c r="D149" s="12">
        <f t="shared" si="6"/>
        <v>2076009.2336814252</v>
      </c>
      <c r="E149" s="13">
        <f>D149*(Assumptions!$B$2*Assumptions!$B$8 + Assumptions!$B$3*Assumptions!$B$9 + Assumptions!$B$4*6*Assumptions!$B$10)</f>
        <v>83818457.608040825</v>
      </c>
      <c r="F149" s="13">
        <f>D149*(Assumptions!$B$14+Assumptions!$B$15+Assumptions!$B$16+Assumptions!$B$17+Assumptions!$B$18)</f>
        <v>30288974.719411995</v>
      </c>
      <c r="G149" s="13">
        <f t="shared" si="7"/>
        <v>53529482.888628826</v>
      </c>
      <c r="H149" s="14">
        <f>IF(A149&lt;Assumptions!$B$24, Assumptions!$B$22*Assumptions!$B$23, 0)</f>
        <v>0</v>
      </c>
      <c r="I149" s="13">
        <f t="shared" si="8"/>
        <v>53529482.888628826</v>
      </c>
      <c r="J149" s="13">
        <f>I149/(1+((1+Assumptions!$B$28)^(1/12)-1))^(A149+0.5)</f>
        <v>16588532.179170731</v>
      </c>
    </row>
    <row r="150" spans="1:10" ht="14" x14ac:dyDescent="0.2">
      <c r="A150" s="10">
        <v>148</v>
      </c>
      <c r="B150" s="11">
        <v>67543.835432454507</v>
      </c>
      <c r="C150" s="11">
        <f xml:space="preserve"> B150 * EXP(-(Assumptions!$B$31 - 1) * 0.00421 * A150)</f>
        <v>67543.835432454507</v>
      </c>
      <c r="D150" s="12">
        <f t="shared" si="6"/>
        <v>2053332.597146617</v>
      </c>
      <c r="E150" s="13">
        <f>D150*(Assumptions!$B$2*Assumptions!$B$8 + Assumptions!$B$3*Assumptions!$B$9 + Assumptions!$B$4*6*Assumptions!$B$10)</f>
        <v>82902892.943275243</v>
      </c>
      <c r="F150" s="13">
        <f>D150*(Assumptions!$B$14+Assumptions!$B$15+Assumptions!$B$16+Assumptions!$B$17+Assumptions!$B$18)</f>
        <v>29958122.592369143</v>
      </c>
      <c r="G150" s="13">
        <f t="shared" si="7"/>
        <v>52944770.350906104</v>
      </c>
      <c r="H150" s="14">
        <f>IF(A150&lt;Assumptions!$B$24, Assumptions!$B$22*Assumptions!$B$23, 0)</f>
        <v>0</v>
      </c>
      <c r="I150" s="13">
        <f t="shared" si="8"/>
        <v>52944770.350906104</v>
      </c>
      <c r="J150" s="13">
        <f>I150/(1+((1+Assumptions!$B$28)^(1/12)-1))^(A150+0.5)</f>
        <v>16277533.208781462</v>
      </c>
    </row>
    <row r="151" spans="1:10" ht="14" x14ac:dyDescent="0.2">
      <c r="A151" s="10">
        <v>149</v>
      </c>
      <c r="B151" s="11">
        <v>66817.953193253896</v>
      </c>
      <c r="C151" s="11">
        <f xml:space="preserve"> B151 * EXP(-(Assumptions!$B$31 - 1) * 0.00421 * A151)</f>
        <v>66817.953193253896</v>
      </c>
      <c r="D151" s="12">
        <f t="shared" si="6"/>
        <v>2031265.7770749184</v>
      </c>
      <c r="E151" s="13">
        <f>D151*(Assumptions!$B$2*Assumptions!$B$8 + Assumptions!$B$3*Assumptions!$B$9 + Assumptions!$B$4*6*Assumptions!$B$10)</f>
        <v>82011949.496244431</v>
      </c>
      <c r="F151" s="13">
        <f>D151*(Assumptions!$B$14+Assumptions!$B$15+Assumptions!$B$16+Assumptions!$B$17+Assumptions!$B$18)</f>
        <v>29636167.68752306</v>
      </c>
      <c r="G151" s="13">
        <f t="shared" si="7"/>
        <v>52375781.808721371</v>
      </c>
      <c r="H151" s="14">
        <f>IF(A151&lt;Assumptions!$B$24, Assumptions!$B$22*Assumptions!$B$23, 0)</f>
        <v>0</v>
      </c>
      <c r="I151" s="13">
        <f t="shared" si="8"/>
        <v>52375781.808721371</v>
      </c>
      <c r="J151" s="13">
        <f>I151/(1+((1+Assumptions!$B$28)^(1/12)-1))^(A151+0.5)</f>
        <v>15975212.707591681</v>
      </c>
    </row>
    <row r="152" spans="1:10" ht="14" x14ac:dyDescent="0.2">
      <c r="A152" s="10">
        <v>150</v>
      </c>
      <c r="B152" s="11">
        <v>66110.991712893301</v>
      </c>
      <c r="C152" s="11">
        <f xml:space="preserve"> B152 * EXP(-(Assumptions!$B$31 - 1) * 0.00421 * A152)</f>
        <v>66110.991712893301</v>
      </c>
      <c r="D152" s="12">
        <f t="shared" si="6"/>
        <v>2009774.1480719564</v>
      </c>
      <c r="E152" s="13">
        <f>D152*(Assumptions!$B$2*Assumptions!$B$8 + Assumptions!$B$3*Assumptions!$B$9 + Assumptions!$B$4*6*Assumptions!$B$10)</f>
        <v>81144229.273575634</v>
      </c>
      <c r="F152" s="13">
        <f>D152*(Assumptions!$B$14+Assumptions!$B$15+Assumptions!$B$16+Assumptions!$B$17+Assumptions!$B$18)</f>
        <v>29322604.820369843</v>
      </c>
      <c r="G152" s="13">
        <f t="shared" si="7"/>
        <v>51821624.453205794</v>
      </c>
      <c r="H152" s="14">
        <f>IF(A152&lt;Assumptions!$B$24, Assumptions!$B$22*Assumptions!$B$23, 0)</f>
        <v>0</v>
      </c>
      <c r="I152" s="13">
        <f t="shared" si="8"/>
        <v>51821624.453205794</v>
      </c>
      <c r="J152" s="13">
        <f>I152/(1+((1+Assumptions!$B$28)^(1/12)-1))^(A152+0.5)</f>
        <v>15681144.723672194</v>
      </c>
    </row>
    <row r="153" spans="1:10" ht="14" x14ac:dyDescent="0.2">
      <c r="A153" s="10">
        <v>151</v>
      </c>
      <c r="B153" s="11">
        <v>65421.9087175612</v>
      </c>
      <c r="C153" s="11">
        <f xml:space="preserve"> B153 * EXP(-(Assumptions!$B$31 - 1) * 0.00421 * A153)</f>
        <v>65421.9087175612</v>
      </c>
      <c r="D153" s="12">
        <f t="shared" si="6"/>
        <v>1988826.0250138603</v>
      </c>
      <c r="E153" s="13">
        <f>D153*(Assumptions!$B$2*Assumptions!$B$8 + Assumptions!$B$3*Assumptions!$B$9 + Assumptions!$B$4*6*Assumptions!$B$10)</f>
        <v>80298452.994729623</v>
      </c>
      <c r="F153" s="13">
        <f>D153*(Assumptions!$B$14+Assumptions!$B$15+Assumptions!$B$16+Assumptions!$B$17+Assumptions!$B$18)</f>
        <v>29016971.704952221</v>
      </c>
      <c r="G153" s="13">
        <f t="shared" si="7"/>
        <v>51281481.289777398</v>
      </c>
      <c r="H153" s="14">
        <f>IF(A153&lt;Assumptions!$B$24, Assumptions!$B$22*Assumptions!$B$23, 0)</f>
        <v>0</v>
      </c>
      <c r="I153" s="13">
        <f t="shared" si="8"/>
        <v>51281481.289777398</v>
      </c>
      <c r="J153" s="13">
        <f>I153/(1+((1+Assumptions!$B$28)^(1/12)-1))^(A153+0.5)</f>
        <v>15394936.83591105</v>
      </c>
    </row>
    <row r="154" spans="1:10" ht="14" x14ac:dyDescent="0.2">
      <c r="A154" s="10">
        <v>152</v>
      </c>
      <c r="B154" s="11">
        <v>64749.747910525199</v>
      </c>
      <c r="C154" s="11">
        <f xml:space="preserve"> B154 * EXP(-(Assumptions!$B$31 - 1) * 0.00421 * A154)</f>
        <v>64749.747910525199</v>
      </c>
      <c r="D154" s="12">
        <f t="shared" si="6"/>
        <v>1968392.3364799661</v>
      </c>
      <c r="E154" s="13">
        <f>D154*(Assumptions!$B$2*Assumptions!$B$8 + Assumptions!$B$3*Assumptions!$B$9 + Assumptions!$B$4*6*Assumptions!$B$10)</f>
        <v>79473446.906911343</v>
      </c>
      <c r="F154" s="13">
        <f>D154*(Assumptions!$B$14+Assumptions!$B$15+Assumptions!$B$16+Assumptions!$B$17+Assumptions!$B$18)</f>
        <v>28718844.189242706</v>
      </c>
      <c r="G154" s="13">
        <f t="shared" si="7"/>
        <v>50754602.717668638</v>
      </c>
      <c r="H154" s="14">
        <f>IF(A154&lt;Assumptions!$B$24, Assumptions!$B$22*Assumptions!$B$23, 0)</f>
        <v>0</v>
      </c>
      <c r="I154" s="13">
        <f t="shared" si="8"/>
        <v>50754602.717668638</v>
      </c>
      <c r="J154" s="13">
        <f>I154/(1+((1+Assumptions!$B$28)^(1/12)-1))^(A154+0.5)</f>
        <v>15116226.549015803</v>
      </c>
    </row>
    <row r="155" spans="1:10" ht="14" x14ac:dyDescent="0.2">
      <c r="A155" s="10">
        <v>153</v>
      </c>
      <c r="B155" s="11">
        <v>64093.629687401903</v>
      </c>
      <c r="C155" s="11">
        <f xml:space="preserve"> B155 * EXP(-(Assumptions!$B$31 - 1) * 0.00421 * A155)</f>
        <v>64093.629687401903</v>
      </c>
      <c r="D155" s="12">
        <f t="shared" si="6"/>
        <v>1948446.3424970177</v>
      </c>
      <c r="E155" s="13">
        <f>D155*(Assumptions!$B$2*Assumptions!$B$8 + Assumptions!$B$3*Assumptions!$B$9 + Assumptions!$B$4*6*Assumptions!$B$10)</f>
        <v>78668131.389048606</v>
      </c>
      <c r="F155" s="13">
        <f>D155*(Assumptions!$B$14+Assumptions!$B$15+Assumptions!$B$16+Assumptions!$B$17+Assumptions!$B$18)</f>
        <v>28427832.137031488</v>
      </c>
      <c r="G155" s="13">
        <f t="shared" si="7"/>
        <v>50240299.252017118</v>
      </c>
      <c r="H155" s="14">
        <f>IF(A155&lt;Assumptions!$B$24, Assumptions!$B$22*Assumptions!$B$23, 0)</f>
        <v>0</v>
      </c>
      <c r="I155" s="13">
        <f t="shared" si="8"/>
        <v>50240299.252017118</v>
      </c>
      <c r="J155" s="13">
        <f>I155/(1+((1+Assumptions!$B$28)^(1/12)-1))^(A155+0.5)</f>
        <v>14844678.169512972</v>
      </c>
    </row>
    <row r="156" spans="1:10" ht="14" x14ac:dyDescent="0.2">
      <c r="A156" s="10">
        <v>154</v>
      </c>
      <c r="B156" s="11">
        <v>63452.743077299703</v>
      </c>
      <c r="C156" s="11">
        <f xml:space="preserve"> B156 * EXP(-(Assumptions!$B$31 - 1) * 0.00421 * A156)</f>
        <v>63452.743077299703</v>
      </c>
      <c r="D156" s="12">
        <f t="shared" si="6"/>
        <v>1928963.3895499108</v>
      </c>
      <c r="E156" s="13">
        <f>D156*(Assumptions!$B$2*Assumptions!$B$8 + Assumptions!$B$3*Assumptions!$B$9 + Assumptions!$B$4*6*Assumptions!$B$10)</f>
        <v>77881511.060399756</v>
      </c>
      <c r="F156" s="13">
        <f>D156*(Assumptions!$B$14+Assumptions!$B$15+Assumptions!$B$16+Assumptions!$B$17+Assumptions!$B$18)</f>
        <v>28143575.853533197</v>
      </c>
      <c r="G156" s="13">
        <f t="shared" si="7"/>
        <v>49737935.206866562</v>
      </c>
      <c r="H156" s="14">
        <f>IF(A156&lt;Assumptions!$B$24, Assumptions!$B$22*Assumptions!$B$23, 0)</f>
        <v>0</v>
      </c>
      <c r="I156" s="13">
        <f t="shared" si="8"/>
        <v>49737935.206866562</v>
      </c>
      <c r="J156" s="13">
        <f>I156/(1+((1+Assumptions!$B$28)^(1/12)-1))^(A156+0.5)</f>
        <v>14579980.087069403</v>
      </c>
    </row>
    <row r="157" spans="1:10" ht="14" x14ac:dyDescent="0.2">
      <c r="A157" s="10">
        <v>155</v>
      </c>
      <c r="B157" s="11">
        <v>62826.338720059102</v>
      </c>
      <c r="C157" s="11">
        <f xml:space="preserve"> B157 * EXP(-(Assumptions!$B$31 - 1) * 0.00421 * A157)</f>
        <v>62826.338720059102</v>
      </c>
      <c r="D157" s="12">
        <f t="shared" si="6"/>
        <v>1909920.6970897967</v>
      </c>
      <c r="E157" s="13">
        <f>D157*(Assumptions!$B$2*Assumptions!$B$8 + Assumptions!$B$3*Assumptions!$B$9 + Assumptions!$B$4*6*Assumptions!$B$10)</f>
        <v>77112666.160861135</v>
      </c>
      <c r="F157" s="13">
        <f>D157*(Assumptions!$B$14+Assumptions!$B$15+Assumptions!$B$16+Assumptions!$B$17+Assumptions!$B$18)</f>
        <v>27865742.970540132</v>
      </c>
      <c r="G157" s="13">
        <f t="shared" si="7"/>
        <v>49246923.190320998</v>
      </c>
      <c r="H157" s="14">
        <f>IF(A157&lt;Assumptions!$B$24, Assumptions!$B$22*Assumptions!$B$23, 0)</f>
        <v>0</v>
      </c>
      <c r="I157" s="13">
        <f t="shared" si="8"/>
        <v>49246923.190320998</v>
      </c>
      <c r="J157" s="13">
        <f>I157/(1+((1+Assumptions!$B$28)^(1/12)-1))^(A157+0.5)</f>
        <v>14321842.39906502</v>
      </c>
    </row>
    <row r="158" spans="1:10" ht="14" x14ac:dyDescent="0.2">
      <c r="A158" s="10">
        <v>156</v>
      </c>
      <c r="B158" s="11">
        <v>62213.7227232941</v>
      </c>
      <c r="C158" s="11">
        <f xml:space="preserve"> B158 * EXP(-(Assumptions!$B$31 - 1) * 0.00421 * A158)</f>
        <v>62213.7227232941</v>
      </c>
      <c r="D158" s="12">
        <f t="shared" si="6"/>
        <v>1891297.1707881405</v>
      </c>
      <c r="E158" s="13">
        <f>D158*(Assumptions!$B$2*Assumptions!$B$8 + Assumptions!$B$3*Assumptions!$B$9 + Assumptions!$B$4*6*Assumptions!$B$10)</f>
        <v>76360745.011137024</v>
      </c>
      <c r="F158" s="13">
        <f>D158*(Assumptions!$B$14+Assumptions!$B$15+Assumptions!$B$16+Assumptions!$B$17+Assumptions!$B$18)</f>
        <v>27594025.721798971</v>
      </c>
      <c r="G158" s="13">
        <f t="shared" si="7"/>
        <v>48766719.289338052</v>
      </c>
      <c r="H158" s="14">
        <f>IF(A158&lt;Assumptions!$B$24, Assumptions!$B$22*Assumptions!$B$23, 0)</f>
        <v>0</v>
      </c>
      <c r="I158" s="13">
        <f t="shared" si="8"/>
        <v>48766719.289338052</v>
      </c>
      <c r="J158" s="13">
        <f>I158/(1+((1+Assumptions!$B$28)^(1/12)-1))^(A158+0.5)</f>
        <v>14069994.827214915</v>
      </c>
    </row>
    <row r="159" spans="1:10" ht="14" x14ac:dyDescent="0.2">
      <c r="A159" s="10">
        <v>157</v>
      </c>
      <c r="B159" s="11">
        <v>61614.251269831599</v>
      </c>
      <c r="C159" s="11">
        <f xml:space="preserve"> B159 * EXP(-(Assumptions!$B$31 - 1) * 0.00421 * A159)</f>
        <v>61614.251269831599</v>
      </c>
      <c r="D159" s="12">
        <f t="shared" si="6"/>
        <v>1873073.2386028806</v>
      </c>
      <c r="E159" s="13">
        <f>D159*(Assumptions!$B$2*Assumptions!$B$8 + Assumptions!$B$3*Assumptions!$B$9 + Assumptions!$B$4*6*Assumptions!$B$10)</f>
        <v>75624957.393943593</v>
      </c>
      <c r="F159" s="13">
        <f>D159*(Assumptions!$B$14+Assumptions!$B$15+Assumptions!$B$16+Assumptions!$B$17+Assumptions!$B$18)</f>
        <v>27328138.551216029</v>
      </c>
      <c r="G159" s="13">
        <f t="shared" si="7"/>
        <v>48296818.842727564</v>
      </c>
      <c r="H159" s="14">
        <f>IF(A159&lt;Assumptions!$B$24, Assumptions!$B$22*Assumptions!$B$23, 0)</f>
        <v>0</v>
      </c>
      <c r="I159" s="13">
        <f t="shared" si="8"/>
        <v>48296818.842727564</v>
      </c>
      <c r="J159" s="13">
        <f>I159/(1+((1+Assumptions!$B$28)^(1/12)-1))^(A159+0.5)</f>
        <v>13824184.883780362</v>
      </c>
    </row>
    <row r="160" spans="1:10" ht="14" x14ac:dyDescent="0.2">
      <c r="A160" s="10">
        <v>158</v>
      </c>
      <c r="B160" s="11">
        <v>61027.325867858301</v>
      </c>
      <c r="C160" s="11">
        <f xml:space="preserve"> B160 * EXP(-(Assumptions!$B$31 - 1) * 0.00421 * A160)</f>
        <v>61027.325867858301</v>
      </c>
      <c r="D160" s="12">
        <f t="shared" si="6"/>
        <v>1855230.7063828923</v>
      </c>
      <c r="E160" s="13">
        <f>D160*(Assumptions!$B$2*Assumptions!$B$8 + Assumptions!$B$3*Assumptions!$B$9 + Assumptions!$B$4*6*Assumptions!$B$10)</f>
        <v>74904568.724068016</v>
      </c>
      <c r="F160" s="13">
        <f>D160*(Assumptions!$B$14+Assumptions!$B$15+Assumptions!$B$16+Assumptions!$B$17+Assumptions!$B$18)</f>
        <v>27067816.0061264</v>
      </c>
      <c r="G160" s="13">
        <f t="shared" si="7"/>
        <v>47836752.717941612</v>
      </c>
      <c r="H160" s="14">
        <f>IF(A160&lt;Assumptions!$B$24, Assumptions!$B$22*Assumptions!$B$23, 0)</f>
        <v>0</v>
      </c>
      <c r="I160" s="13">
        <f t="shared" si="8"/>
        <v>47836752.717941612</v>
      </c>
      <c r="J160" s="13">
        <f>I160/(1+((1+Assumptions!$B$28)^(1/12)-1))^(A160+0.5)</f>
        <v>13584176.251976673</v>
      </c>
    </row>
    <row r="161" spans="1:10" ht="14" x14ac:dyDescent="0.2">
      <c r="A161" s="10">
        <v>159</v>
      </c>
      <c r="B161" s="11">
        <v>60452.389153737196</v>
      </c>
      <c r="C161" s="11">
        <f xml:space="preserve"> B161 * EXP(-(Assumptions!$B$31 - 1) * 0.00421 * A161)</f>
        <v>60452.389153737196</v>
      </c>
      <c r="D161" s="12">
        <f t="shared" si="6"/>
        <v>1837752.6302736106</v>
      </c>
      <c r="E161" s="13">
        <f>D161*(Assumptions!$B$2*Assumptions!$B$8 + Assumptions!$B$3*Assumptions!$B$9 + Assumptions!$B$4*6*Assumptions!$B$10)</f>
        <v>74198894.896770984</v>
      </c>
      <c r="F161" s="13">
        <f>D161*(Assumptions!$B$14+Assumptions!$B$15+Assumptions!$B$16+Assumptions!$B$17+Assumptions!$B$18)</f>
        <v>26812810.875691976</v>
      </c>
      <c r="G161" s="13">
        <f t="shared" si="7"/>
        <v>47386084.021079004</v>
      </c>
      <c r="H161" s="14">
        <f>IF(A161&lt;Assumptions!$B$24, Assumptions!$B$22*Assumptions!$B$23, 0)</f>
        <v>0</v>
      </c>
      <c r="I161" s="13">
        <f t="shared" si="8"/>
        <v>47386084.021079004</v>
      </c>
      <c r="J161" s="13">
        <f>I161/(1+((1+Assumptions!$B$28)^(1/12)-1))^(A161+0.5)</f>
        <v>13349747.350938812</v>
      </c>
    </row>
    <row r="162" spans="1:10" ht="14" x14ac:dyDescent="0.2">
      <c r="A162" s="10">
        <v>160</v>
      </c>
      <c r="B162" s="11">
        <v>59888.9211718597</v>
      </c>
      <c r="C162" s="11">
        <f xml:space="preserve"> B162 * EXP(-(Assumptions!$B$31 - 1) * 0.00421 * A162)</f>
        <v>59888.9211718597</v>
      </c>
      <c r="D162" s="12">
        <f t="shared" si="6"/>
        <v>1820623.2036245349</v>
      </c>
      <c r="E162" s="13">
        <f>D162*(Assumptions!$B$2*Assumptions!$B$8 + Assumptions!$B$3*Assumptions!$B$9 + Assumptions!$B$4*6*Assumptions!$B$10)</f>
        <v>73507297.721699879</v>
      </c>
      <c r="F162" s="13">
        <f>D162*(Assumptions!$B$14+Assumptions!$B$15+Assumptions!$B$16+Assumptions!$B$17+Assumptions!$B$18)</f>
        <v>26562892.540881965</v>
      </c>
      <c r="G162" s="13">
        <f t="shared" si="7"/>
        <v>46944405.180817917</v>
      </c>
      <c r="H162" s="14">
        <f>IF(A162&lt;Assumptions!$B$24, Assumptions!$B$22*Assumptions!$B$23, 0)</f>
        <v>0</v>
      </c>
      <c r="I162" s="13">
        <f t="shared" si="8"/>
        <v>46944405.180817917</v>
      </c>
      <c r="J162" s="13">
        <f>I162/(1+((1+Assumptions!$B$28)^(1/12)-1))^(A162+0.5)</f>
        <v>13120690.060307832</v>
      </c>
    </row>
    <row r="163" spans="1:10" ht="14" x14ac:dyDescent="0.2">
      <c r="A163" s="10">
        <v>161</v>
      </c>
      <c r="B163" s="11">
        <v>59336.436067733899</v>
      </c>
      <c r="C163" s="11">
        <f xml:space="preserve"> B163 * EXP(-(Assumptions!$B$31 - 1) * 0.00421 * A163)</f>
        <v>59336.436067733899</v>
      </c>
      <c r="D163" s="12">
        <f t="shared" si="6"/>
        <v>1803827.6564591106</v>
      </c>
      <c r="E163" s="13">
        <f>D163*(Assumptions!$B$2*Assumptions!$B$8 + Assumptions!$B$3*Assumptions!$B$9 + Assumptions!$B$4*6*Assumptions!$B$10)</f>
        <v>72829180.864005312</v>
      </c>
      <c r="F163" s="13">
        <f>D163*(Assumptions!$B$14+Assumptions!$B$15+Assumptions!$B$16+Assumptions!$B$17+Assumptions!$B$18)</f>
        <v>26317845.507738423</v>
      </c>
      <c r="G163" s="13">
        <f t="shared" si="7"/>
        <v>46511335.356266886</v>
      </c>
      <c r="H163" s="14">
        <f>IF(A163&lt;Assumptions!$B$24, Assumptions!$B$22*Assumptions!$B$23, 0)</f>
        <v>0</v>
      </c>
      <c r="I163" s="13">
        <f t="shared" si="8"/>
        <v>46511335.356266886</v>
      </c>
      <c r="J163" s="13">
        <f>I163/(1+((1+Assumptions!$B$28)^(1/12)-1))^(A163+0.5)</f>
        <v>12896808.58336857</v>
      </c>
    </row>
    <row r="164" spans="1:10" ht="14" x14ac:dyDescent="0.2">
      <c r="A164" s="10">
        <v>162</v>
      </c>
      <c r="B164" s="11">
        <v>58794.479140265801</v>
      </c>
      <c r="C164" s="11">
        <f xml:space="preserve"> B164 * EXP(-(Assumptions!$B$31 - 1) * 0.00421 * A164)</f>
        <v>58794.479140265801</v>
      </c>
      <c r="D164" s="12">
        <f t="shared" si="6"/>
        <v>1787352.1658640802</v>
      </c>
      <c r="E164" s="13">
        <f>D164*(Assumptions!$B$2*Assumptions!$B$8 + Assumptions!$B$3*Assumptions!$B$9 + Assumptions!$B$4*6*Assumptions!$B$10)</f>
        <v>72163986.226329073</v>
      </c>
      <c r="F164" s="13">
        <f>D164*(Assumptions!$B$14+Assumptions!$B$15+Assumptions!$B$16+Assumptions!$B$17+Assumptions!$B$18)</f>
        <v>26077468.09995693</v>
      </c>
      <c r="G164" s="13">
        <f t="shared" si="7"/>
        <v>46086518.126372144</v>
      </c>
      <c r="H164" s="14">
        <f>IF(A164&lt;Assumptions!$B$24, Assumptions!$B$22*Assumptions!$B$23, 0)</f>
        <v>0</v>
      </c>
      <c r="I164" s="13">
        <f t="shared" si="8"/>
        <v>46086518.126372144</v>
      </c>
      <c r="J164" s="13">
        <f>I164/(1+((1+Assumptions!$B$28)^(1/12)-1))^(A164+0.5)</f>
        <v>12677918.430862457</v>
      </c>
    </row>
    <row r="165" spans="1:10" ht="14" x14ac:dyDescent="0.2">
      <c r="A165" s="10">
        <v>163</v>
      </c>
      <c r="B165" s="11">
        <v>58262.624207277397</v>
      </c>
      <c r="C165" s="11">
        <f xml:space="preserve"> B165 * EXP(-(Assumptions!$B$31 - 1) * 0.00421 * A165)</f>
        <v>58262.624207277397</v>
      </c>
      <c r="D165" s="12">
        <f t="shared" si="6"/>
        <v>1771183.7759012328</v>
      </c>
      <c r="E165" s="13">
        <f>D165*(Assumptions!$B$2*Assumptions!$B$8 + Assumptions!$B$3*Assumptions!$B$9 + Assumptions!$B$4*6*Assumptions!$B$10)</f>
        <v>71511190.715257108</v>
      </c>
      <c r="F165" s="13">
        <f>D165*(Assumptions!$B$14+Assumptions!$B$15+Assumptions!$B$16+Assumptions!$B$17+Assumptions!$B$18)</f>
        <v>25841571.290398985</v>
      </c>
      <c r="G165" s="13">
        <f t="shared" si="7"/>
        <v>45669619.424858123</v>
      </c>
      <c r="H165" s="14">
        <f>IF(A165&lt;Assumptions!$B$24, Assumptions!$B$22*Assumptions!$B$23, 0)</f>
        <v>0</v>
      </c>
      <c r="I165" s="13">
        <f t="shared" si="8"/>
        <v>45669619.424858123</v>
      </c>
      <c r="J165" s="13">
        <f>I165/(1+((1+Assumptions!$B$28)^(1/12)-1))^(A165+0.5)</f>
        <v>12463845.510249456</v>
      </c>
    </row>
    <row r="166" spans="1:10" ht="14" x14ac:dyDescent="0.2">
      <c r="A166" s="10">
        <v>164</v>
      </c>
      <c r="B166" s="11">
        <v>57740.471245034903</v>
      </c>
      <c r="C166" s="11">
        <f xml:space="preserve"> B166 * EXP(-(Assumptions!$B$31 - 1) * 0.00421 * A166)</f>
        <v>57740.471245034903</v>
      </c>
      <c r="D166" s="12">
        <f t="shared" si="6"/>
        <v>1755310.3258490609</v>
      </c>
      <c r="E166" s="13">
        <f>D166*(Assumptions!$B$2*Assumptions!$B$8 + Assumptions!$B$3*Assumptions!$B$9 + Assumptions!$B$4*6*Assumptions!$B$10)</f>
        <v>70870303.34409067</v>
      </c>
      <c r="F166" s="13">
        <f>D166*(Assumptions!$B$14+Assumptions!$B$15+Assumptions!$B$16+Assumptions!$B$17+Assumptions!$B$18)</f>
        <v>25609977.654137798</v>
      </c>
      <c r="G166" s="13">
        <f t="shared" si="7"/>
        <v>45260325.689952873</v>
      </c>
      <c r="H166" s="14">
        <f>IF(A166&lt;Assumptions!$B$24, Assumptions!$B$22*Assumptions!$B$23, 0)</f>
        <v>0</v>
      </c>
      <c r="I166" s="13">
        <f t="shared" si="8"/>
        <v>45260325.689952873</v>
      </c>
      <c r="J166" s="13">
        <f>I166/(1+((1+Assumptions!$B$28)^(1/12)-1))^(A166+0.5)</f>
        <v>12254425.307401665</v>
      </c>
    </row>
    <row r="167" spans="1:10" ht="14" x14ac:dyDescent="0.2">
      <c r="A167" s="10">
        <v>165</v>
      </c>
      <c r="B167" s="11">
        <v>57227.644268187098</v>
      </c>
      <c r="C167" s="11">
        <f xml:space="preserve"> B167 * EXP(-(Assumptions!$B$31 - 1) * 0.00421 * A167)</f>
        <v>57227.644268187098</v>
      </c>
      <c r="D167" s="12">
        <f t="shared" si="6"/>
        <v>1739720.3857528877</v>
      </c>
      <c r="E167" s="13">
        <f>D167*(Assumptions!$B$2*Assumptions!$B$8 + Assumptions!$B$3*Assumptions!$B$9 + Assumptions!$B$4*6*Assumptions!$B$10)</f>
        <v>70240862.630695701</v>
      </c>
      <c r="F167" s="13">
        <f>D167*(Assumptions!$B$14+Assumptions!$B$15+Assumptions!$B$16+Assumptions!$B$17+Assumptions!$B$18)</f>
        <v>25382520.428134631</v>
      </c>
      <c r="G167" s="13">
        <f t="shared" si="7"/>
        <v>44858342.202561066</v>
      </c>
      <c r="H167" s="14">
        <f>IF(A167&lt;Assumptions!$B$24, Assumptions!$B$22*Assumptions!$B$23, 0)</f>
        <v>0</v>
      </c>
      <c r="I167" s="13">
        <f t="shared" si="8"/>
        <v>44858342.202561066</v>
      </c>
      <c r="J167" s="13">
        <f>I167/(1+((1+Assumptions!$B$28)^(1/12)-1))^(A167+0.5)</f>
        <v>12049502.149560193</v>
      </c>
    </row>
    <row r="168" spans="1:10" ht="14" x14ac:dyDescent="0.2">
      <c r="A168" s="10">
        <v>166</v>
      </c>
      <c r="B168" s="11">
        <v>56723.789421232897</v>
      </c>
      <c r="C168" s="11">
        <f xml:space="preserve"> B168 * EXP(-(Assumptions!$B$31 - 1) * 0.00421 * A168)</f>
        <v>56723.789421232897</v>
      </c>
      <c r="D168" s="12">
        <f t="shared" si="6"/>
        <v>1724403.19840548</v>
      </c>
      <c r="E168" s="13">
        <f>D168*(Assumptions!$B$2*Assumptions!$B$8 + Assumptions!$B$3*Assumptions!$B$9 + Assumptions!$B$4*6*Assumptions!$B$10)</f>
        <v>69622434.254981592</v>
      </c>
      <c r="F168" s="13">
        <f>D168*(Assumptions!$B$14+Assumptions!$B$15+Assumptions!$B$16+Assumptions!$B$17+Assumptions!$B$18)</f>
        <v>25159042.664735954</v>
      </c>
      <c r="G168" s="13">
        <f t="shared" si="7"/>
        <v>44463391.590245634</v>
      </c>
      <c r="H168" s="14">
        <f>IF(A168&lt;Assumptions!$B$24, Assumptions!$B$22*Assumptions!$B$23, 0)</f>
        <v>0</v>
      </c>
      <c r="I168" s="13">
        <f t="shared" si="8"/>
        <v>44463391.590245634</v>
      </c>
      <c r="J168" s="13">
        <f>I168/(1+((1+Assumptions!$B$28)^(1/12)-1))^(A168+0.5)</f>
        <v>11848928.539939815</v>
      </c>
    </row>
    <row r="169" spans="1:10" ht="14" x14ac:dyDescent="0.2">
      <c r="A169" s="10">
        <v>167</v>
      </c>
      <c r="B169" s="11">
        <v>56228.573256614502</v>
      </c>
      <c r="C169" s="11">
        <f xml:space="preserve"> B169 * EXP(-(Assumptions!$B$31 - 1) * 0.00421 * A169)</f>
        <v>56228.573256614502</v>
      </c>
      <c r="D169" s="12">
        <f t="shared" si="6"/>
        <v>1709348.6270010807</v>
      </c>
      <c r="E169" s="13">
        <f>D169*(Assumptions!$B$2*Assumptions!$B$8 + Assumptions!$B$3*Assumptions!$B$9 + Assumptions!$B$4*6*Assumptions!$B$10)</f>
        <v>69014608.945443243</v>
      </c>
      <c r="F169" s="13">
        <f>D169*(Assumptions!$B$14+Assumptions!$B$15+Assumptions!$B$16+Assumptions!$B$17+Assumptions!$B$18)</f>
        <v>24939396.467945766</v>
      </c>
      <c r="G169" s="13">
        <f t="shared" si="7"/>
        <v>44075212.477497473</v>
      </c>
      <c r="H169" s="14">
        <f>IF(A169&lt;Assumptions!$B$24, Assumptions!$B$22*Assumptions!$B$23, 0)</f>
        <v>0</v>
      </c>
      <c r="I169" s="13">
        <f t="shared" si="8"/>
        <v>44075212.477497473</v>
      </c>
      <c r="J169" s="13">
        <f>I169/(1+((1+Assumptions!$B$28)^(1/12)-1))^(A169+0.5)</f>
        <v>11652564.555676492</v>
      </c>
    </row>
    <row r="170" spans="1:10" ht="14" x14ac:dyDescent="0.2">
      <c r="A170" s="10">
        <v>168</v>
      </c>
      <c r="B170" s="11">
        <v>55741.681177894097</v>
      </c>
      <c r="C170" s="11">
        <f xml:space="preserve"> B170 * EXP(-(Assumptions!$B$31 - 1) * 0.00421 * A170)</f>
        <v>55741.681177894097</v>
      </c>
      <c r="D170" s="12">
        <f t="shared" si="6"/>
        <v>1694547.1078079804</v>
      </c>
      <c r="E170" s="13">
        <f>D170*(Assumptions!$B$2*Assumptions!$B$8 + Assumptions!$B$3*Assumptions!$B$9 + Assumptions!$B$4*6*Assumptions!$B$10)</f>
        <v>68417000.568325654</v>
      </c>
      <c r="F170" s="13">
        <f>D170*(Assumptions!$B$14+Assumptions!$B$15+Assumptions!$B$16+Assumptions!$B$17+Assumptions!$B$18)</f>
        <v>24723442.302918434</v>
      </c>
      <c r="G170" s="13">
        <f t="shared" si="7"/>
        <v>43693558.26540722</v>
      </c>
      <c r="H170" s="14">
        <f>IF(A170&lt;Assumptions!$B$24, Assumptions!$B$22*Assumptions!$B$23, 0)</f>
        <v>0</v>
      </c>
      <c r="I170" s="13">
        <f t="shared" si="8"/>
        <v>43693558.26540722</v>
      </c>
      <c r="J170" s="13">
        <f>I170/(1+((1+Assumptions!$B$28)^(1/12)-1))^(A170+0.5)</f>
        <v>11460277.301922185</v>
      </c>
    </row>
    <row r="171" spans="1:10" ht="14" x14ac:dyDescent="0.2">
      <c r="A171" s="10">
        <v>169</v>
      </c>
      <c r="B171" s="11">
        <v>55262.816029322697</v>
      </c>
      <c r="C171" s="11">
        <f xml:space="preserve"> B171 * EXP(-(Assumptions!$B$31 - 1) * 0.00421 * A171)</f>
        <v>55262.816029322697</v>
      </c>
      <c r="D171" s="12">
        <f t="shared" si="6"/>
        <v>1679989.60729141</v>
      </c>
      <c r="E171" s="13">
        <f>D171*(Assumptions!$B$2*Assumptions!$B$8 + Assumptions!$B$3*Assumptions!$B$9 + Assumptions!$B$4*6*Assumptions!$B$10)</f>
        <v>67829244.396469235</v>
      </c>
      <c r="F171" s="13">
        <f>D171*(Assumptions!$B$14+Assumptions!$B$15+Assumptions!$B$16+Assumptions!$B$17+Assumptions!$B$18)</f>
        <v>24511048.370381672</v>
      </c>
      <c r="G171" s="13">
        <f t="shared" si="7"/>
        <v>43318196.026087567</v>
      </c>
      <c r="H171" s="14">
        <f>IF(A171&lt;Assumptions!$B$24, Assumptions!$B$22*Assumptions!$B$23, 0)</f>
        <v>0</v>
      </c>
      <c r="I171" s="13">
        <f t="shared" si="8"/>
        <v>43318196.026087567</v>
      </c>
      <c r="J171" s="13">
        <f>I171/(1+((1+Assumptions!$B$28)^(1/12)-1))^(A171+0.5)</f>
        <v>11271940.415833337</v>
      </c>
    </row>
    <row r="172" spans="1:10" ht="14" x14ac:dyDescent="0.2">
      <c r="A172" s="10">
        <v>170</v>
      </c>
      <c r="B172" s="11">
        <v>54791.696815541603</v>
      </c>
      <c r="C172" s="11">
        <f xml:space="preserve"> B172 * EXP(-(Assumptions!$B$31 - 1) * 0.00421 * A172)</f>
        <v>54791.696815541603</v>
      </c>
      <c r="D172" s="12">
        <f t="shared" si="6"/>
        <v>1665667.5831924647</v>
      </c>
      <c r="E172" s="13">
        <f>D172*(Assumptions!$B$2*Assumptions!$B$8 + Assumptions!$B$3*Assumptions!$B$9 + Assumptions!$B$4*6*Assumptions!$B$10)</f>
        <v>67250995.537879139</v>
      </c>
      <c r="F172" s="13">
        <f>D172*(Assumptions!$B$14+Assumptions!$B$15+Assumptions!$B$16+Assumptions!$B$17+Assumptions!$B$18)</f>
        <v>24302090.038778059</v>
      </c>
      <c r="G172" s="13">
        <f t="shared" si="7"/>
        <v>42948905.49910108</v>
      </c>
      <c r="H172" s="14">
        <f>IF(A172&lt;Assumptions!$B$24, Assumptions!$B$22*Assumptions!$B$23, 0)</f>
        <v>0</v>
      </c>
      <c r="I172" s="13">
        <f t="shared" si="8"/>
        <v>42948905.49910108</v>
      </c>
      <c r="J172" s="13">
        <f>I172/(1+((1+Assumptions!$B$28)^(1/12)-1))^(A172+0.5)</f>
        <v>11087433.61500372</v>
      </c>
    </row>
    <row r="173" spans="1:10" ht="14" x14ac:dyDescent="0.2">
      <c r="A173" s="10">
        <v>171</v>
      </c>
      <c r="B173" s="11">
        <v>54328.0575372245</v>
      </c>
      <c r="C173" s="11">
        <f xml:space="preserve"> B173 * EXP(-(Assumptions!$B$31 - 1) * 0.00421 * A173)</f>
        <v>54328.0575372245</v>
      </c>
      <c r="D173" s="12">
        <f t="shared" si="6"/>
        <v>1651572.9491316248</v>
      </c>
      <c r="E173" s="13">
        <f>D173*(Assumptions!$B$2*Assumptions!$B$8 + Assumptions!$B$3*Assumptions!$B$9 + Assumptions!$B$4*6*Assumptions!$B$10)</f>
        <v>66681927.506599538</v>
      </c>
      <c r="F173" s="13">
        <f>D173*(Assumptions!$B$14+Assumptions!$B$15+Assumptions!$B$16+Assumptions!$B$17+Assumptions!$B$18)</f>
        <v>24096449.327830404</v>
      </c>
      <c r="G173" s="13">
        <f t="shared" si="7"/>
        <v>42585478.178769134</v>
      </c>
      <c r="H173" s="14">
        <f>IF(A173&lt;Assumptions!$B$24, Assumptions!$B$22*Assumptions!$B$23, 0)</f>
        <v>0</v>
      </c>
      <c r="I173" s="13">
        <f t="shared" si="8"/>
        <v>42585478.178769134</v>
      </c>
      <c r="J173" s="13">
        <f>I173/(1+((1+Assumptions!$B$28)^(1/12)-1))^(A173+0.5)</f>
        <v>10906642.285578156</v>
      </c>
    </row>
    <row r="174" spans="1:10" ht="14" x14ac:dyDescent="0.2">
      <c r="A174" s="10">
        <v>172</v>
      </c>
      <c r="B174" s="11">
        <v>53871.646130251502</v>
      </c>
      <c r="C174" s="11">
        <f xml:space="preserve"> B174 * EXP(-(Assumptions!$B$31 - 1) * 0.00421 * A174)</f>
        <v>53871.646130251502</v>
      </c>
      <c r="D174" s="12">
        <f t="shared" si="6"/>
        <v>1637698.0423596455</v>
      </c>
      <c r="E174" s="13">
        <f>D174*(Assumptions!$B$2*Assumptions!$B$8 + Assumptions!$B$3*Assumptions!$B$9 + Assumptions!$B$4*6*Assumptions!$B$10)</f>
        <v>66121730.920662224</v>
      </c>
      <c r="F174" s="13">
        <f>D174*(Assumptions!$B$14+Assumptions!$B$15+Assumptions!$B$16+Assumptions!$B$17+Assumptions!$B$18)</f>
        <v>23894014.438027229</v>
      </c>
      <c r="G174" s="13">
        <f t="shared" si="7"/>
        <v>42227716.482634991</v>
      </c>
      <c r="H174" s="14">
        <f>IF(A174&lt;Assumptions!$B$24, Assumptions!$B$22*Assumptions!$B$23, 0)</f>
        <v>0</v>
      </c>
      <c r="I174" s="13">
        <f t="shared" si="8"/>
        <v>42227716.482634991</v>
      </c>
      <c r="J174" s="13">
        <f>I174/(1+((1+Assumptions!$B$28)^(1/12)-1))^(A174+0.5)</f>
        <v>10729457.1058743</v>
      </c>
    </row>
    <row r="175" spans="1:10" ht="14" x14ac:dyDescent="0.2">
      <c r="A175" s="10">
        <v>173</v>
      </c>
      <c r="B175" s="11">
        <v>53422.2234975256</v>
      </c>
      <c r="C175" s="11">
        <f xml:space="preserve"> B175 * EXP(-(Assumptions!$B$31 - 1) * 0.00421 * A175)</f>
        <v>53422.2234975256</v>
      </c>
      <c r="D175" s="12">
        <f t="shared" si="6"/>
        <v>1624035.5943247781</v>
      </c>
      <c r="E175" s="13">
        <f>D175*(Assumptions!$B$2*Assumptions!$B$8 + Assumptions!$B$3*Assumptions!$B$9 + Assumptions!$B$4*6*Assumptions!$B$10)</f>
        <v>65570112.313744061</v>
      </c>
      <c r="F175" s="13">
        <f>D175*(Assumptions!$B$14+Assumptions!$B$15+Assumptions!$B$16+Assumptions!$B$17+Assumptions!$B$18)</f>
        <v>23694679.321198512</v>
      </c>
      <c r="G175" s="13">
        <f t="shared" si="7"/>
        <v>41875432.992545545</v>
      </c>
      <c r="H175" s="14">
        <f>IF(A175&lt;Assumptions!$B$24, Assumptions!$B$22*Assumptions!$B$23, 0)</f>
        <v>0</v>
      </c>
      <c r="I175" s="13">
        <f t="shared" si="8"/>
        <v>41875432.992545545</v>
      </c>
      <c r="J175" s="13">
        <f>I175/(1+((1+Assumptions!$B$28)^(1/12)-1))^(A175+0.5)</f>
        <v>10555773.70184546</v>
      </c>
    </row>
    <row r="176" spans="1:10" ht="14" x14ac:dyDescent="0.2">
      <c r="A176" s="10">
        <v>174</v>
      </c>
      <c r="B176" s="11">
        <v>52979.562623863101</v>
      </c>
      <c r="C176" s="11">
        <f xml:space="preserve"> B176 * EXP(-(Assumptions!$B$31 - 1) * 0.00421 * A176)</f>
        <v>52979.562623863101</v>
      </c>
      <c r="D176" s="12">
        <f t="shared" si="6"/>
        <v>1610578.7037654382</v>
      </c>
      <c r="E176" s="13">
        <f>D176*(Assumptions!$B$2*Assumptions!$B$8 + Assumptions!$B$3*Assumptions!$B$9 + Assumptions!$B$4*6*Assumptions!$B$10)</f>
        <v>65026793.048788823</v>
      </c>
      <c r="F176" s="13">
        <f>D176*(Assumptions!$B$14+Assumptions!$B$15+Assumptions!$B$16+Assumptions!$B$17+Assumptions!$B$18)</f>
        <v>23498343.287937742</v>
      </c>
      <c r="G176" s="13">
        <f t="shared" si="7"/>
        <v>41528449.760851085</v>
      </c>
      <c r="H176" s="14">
        <f>IF(A176&lt;Assumptions!$B$24, Assumptions!$B$22*Assumptions!$B$23, 0)</f>
        <v>0</v>
      </c>
      <c r="I176" s="13">
        <f>E176-F176-H176</f>
        <v>41528449.760851085</v>
      </c>
      <c r="J176" s="13">
        <f>I176/(1+((1+Assumptions!$B$28)^(1/12)-1))^(A176+0.5)</f>
        <v>10385492.331156148</v>
      </c>
    </row>
    <row r="177" spans="1:10" ht="14" x14ac:dyDescent="0.2">
      <c r="A177" s="10">
        <v>175</v>
      </c>
      <c r="B177" s="11">
        <v>52543.447765523102</v>
      </c>
      <c r="C177" s="11">
        <f xml:space="preserve"> B177 * EXP(-(Assumptions!$B$31 - 1) * 0.00421 * A177)</f>
        <v>52543.447765523102</v>
      </c>
      <c r="D177" s="12">
        <f t="shared" si="6"/>
        <v>1597320.8120719022</v>
      </c>
      <c r="E177" s="13">
        <f>D177*(Assumptions!$B$2*Assumptions!$B$8 + Assumptions!$B$3*Assumptions!$B$9 + Assumptions!$B$4*6*Assumptions!$B$10)</f>
        <v>64491508.323240653</v>
      </c>
      <c r="F177" s="13">
        <f>D177*(Assumptions!$B$14+Assumptions!$B$15+Assumptions!$B$16+Assumptions!$B$17+Assumptions!$B$18)</f>
        <v>23304910.648129053</v>
      </c>
      <c r="G177" s="13">
        <f t="shared" si="7"/>
        <v>41186597.675111599</v>
      </c>
      <c r="H177" s="14">
        <f>IF(A177&lt;Assumptions!$B$24, Assumptions!$B$22*Assumptions!$B$23, 0)</f>
        <v>0</v>
      </c>
      <c r="I177" s="13">
        <f t="shared" si="8"/>
        <v>41186597.675111599</v>
      </c>
      <c r="J177" s="13">
        <f>I177/(1+((1+Assumptions!$B$28)^(1/12)-1))^(A177+0.5)</f>
        <v>10218517.593020109</v>
      </c>
    </row>
    <row r="178" spans="1:10" ht="14" x14ac:dyDescent="0.2">
      <c r="A178" s="10">
        <v>176</v>
      </c>
      <c r="B178" s="11">
        <v>52113.673706924397</v>
      </c>
      <c r="C178" s="11">
        <f xml:space="preserve"> B178 * EXP(-(Assumptions!$B$31 - 1) * 0.00421 * A178)</f>
        <v>52113.673706924397</v>
      </c>
      <c r="D178" s="12">
        <f t="shared" si="6"/>
        <v>1584255.6806905016</v>
      </c>
      <c r="E178" s="13">
        <f>D178*(Assumptions!$B$2*Assumptions!$B$8 + Assumptions!$B$3*Assumptions!$B$9 + Assumptions!$B$4*6*Assumptions!$B$10)</f>
        <v>63964006.256742872</v>
      </c>
      <c r="F178" s="13">
        <f>D178*(Assumptions!$B$14+Assumptions!$B$15+Assumptions!$B$16+Assumptions!$B$17+Assumptions!$B$18)</f>
        <v>23114290.381274417</v>
      </c>
      <c r="G178" s="13">
        <f t="shared" si="7"/>
        <v>40849715.875468455</v>
      </c>
      <c r="H178" s="14">
        <f>IF(A178&lt;Assumptions!$B$24, Assumptions!$B$22*Assumptions!$B$23, 0)</f>
        <v>0</v>
      </c>
      <c r="I178" s="13">
        <f t="shared" si="8"/>
        <v>40849715.875468455</v>
      </c>
      <c r="J178" s="13">
        <f>I178/(1+((1+Assumptions!$B$28)^(1/12)-1))^(A178+0.5)</f>
        <v>10054758.161278775</v>
      </c>
    </row>
    <row r="179" spans="1:10" ht="14" x14ac:dyDescent="0.2">
      <c r="A179" s="10">
        <v>177</v>
      </c>
      <c r="B179" s="11">
        <v>51690.045077957002</v>
      </c>
      <c r="C179" s="11">
        <f xml:space="preserve"> B179 * EXP(-(Assumptions!$B$31 - 1) * 0.00421 * A179)</f>
        <v>51690.045077957002</v>
      </c>
      <c r="D179" s="12">
        <f t="shared" si="6"/>
        <v>1571377.3703698928</v>
      </c>
      <c r="E179" s="13">
        <f>D179*(Assumptions!$B$2*Assumptions!$B$8 + Assumptions!$B$3*Assumptions!$B$9 + Assumptions!$B$4*6*Assumptions!$B$10)</f>
        <v>63444047.053210363</v>
      </c>
      <c r="F179" s="13">
        <f>D179*(Assumptions!$B$14+Assumptions!$B$15+Assumptions!$B$16+Assumptions!$B$17+Assumptions!$B$18)</f>
        <v>22926395.833696734</v>
      </c>
      <c r="G179" s="13">
        <f t="shared" si="7"/>
        <v>40517651.219513625</v>
      </c>
      <c r="H179" s="14">
        <f>IF(A179&lt;Assumptions!$B$24, Assumptions!$B$22*Assumptions!$B$23, 0)</f>
        <v>0</v>
      </c>
      <c r="I179" s="13">
        <f t="shared" si="8"/>
        <v>40517651.219513625</v>
      </c>
      <c r="J179" s="13">
        <f>I179/(1+((1+Assumptions!$B$28)^(1/12)-1))^(A179+0.5)</f>
        <v>9894126.5384845622</v>
      </c>
    </row>
    <row r="180" spans="1:10" ht="14" x14ac:dyDescent="0.2">
      <c r="A180" s="10">
        <v>178</v>
      </c>
      <c r="B180" s="11">
        <v>51272.375726036698</v>
      </c>
      <c r="C180" s="11">
        <f xml:space="preserve"> B180 * EXP(-(Assumptions!$B$31 - 1) * 0.00421 * A180)</f>
        <v>51272.375726036698</v>
      </c>
      <c r="D180" s="12">
        <f t="shared" si="6"/>
        <v>1558680.2220715156</v>
      </c>
      <c r="E180" s="13">
        <f>D180*(Assumptions!$B$2*Assumptions!$B$8 + Assumptions!$B$3*Assumptions!$B$9 + Assumptions!$B$4*6*Assumptions!$B$10)</f>
        <v>62931402.23009304</v>
      </c>
      <c r="F180" s="13">
        <f>D180*(Assumptions!$B$14+Assumptions!$B$15+Assumptions!$B$16+Assumptions!$B$17+Assumptions!$B$18)</f>
        <v>22741144.440023411</v>
      </c>
      <c r="G180" s="13">
        <f t="shared" si="7"/>
        <v>40190257.790069625</v>
      </c>
      <c r="H180" s="14">
        <f>IF(A180&lt;Assumptions!$B$24, Assumptions!$B$22*Assumptions!$B$23, 0)</f>
        <v>0</v>
      </c>
      <c r="I180" s="13">
        <f t="shared" si="8"/>
        <v>40190257.790069625</v>
      </c>
      <c r="J180" s="13">
        <f>I180/(1+((1+Assumptions!$B$28)^(1/12)-1))^(A180+0.5)</f>
        <v>9736538.8290018346</v>
      </c>
    </row>
    <row r="181" spans="1:10" ht="14" x14ac:dyDescent="0.2">
      <c r="A181" s="10">
        <v>179</v>
      </c>
      <c r="B181" s="11">
        <v>50860.488137702501</v>
      </c>
      <c r="C181" s="11">
        <f xml:space="preserve"> B181 * EXP(-(Assumptions!$B$31 - 1) * 0.00421 * A181)</f>
        <v>50860.488137702501</v>
      </c>
      <c r="D181" s="12">
        <f t="shared" si="6"/>
        <v>1546158.8393861561</v>
      </c>
      <c r="E181" s="13">
        <f>D181*(Assumptions!$B$2*Assumptions!$B$8 + Assumptions!$B$3*Assumptions!$B$9 + Assumptions!$B$4*6*Assumptions!$B$10)</f>
        <v>62425853.908448182</v>
      </c>
      <c r="F181" s="13">
        <f>D181*(Assumptions!$B$14+Assumptions!$B$15+Assumptions!$B$16+Assumptions!$B$17+Assumptions!$B$18)</f>
        <v>22558457.466644015</v>
      </c>
      <c r="G181" s="13">
        <f t="shared" si="7"/>
        <v>39867396.441804171</v>
      </c>
      <c r="H181" s="14">
        <f>IF(A181&lt;Assumptions!$B$24, Assumptions!$B$22*Assumptions!$B$23, 0)</f>
        <v>0</v>
      </c>
      <c r="I181" s="13">
        <f t="shared" si="8"/>
        <v>39867396.441804171</v>
      </c>
      <c r="J181" s="13">
        <f>I181/(1+((1+Assumptions!$B$28)^(1/12)-1))^(A181+0.5)</f>
        <v>9581914.5293565299</v>
      </c>
    </row>
    <row r="182" spans="1:10" ht="14" x14ac:dyDescent="0.2">
      <c r="A182" s="2"/>
      <c r="B182" s="1"/>
      <c r="C182" s="1"/>
      <c r="E182" s="15"/>
      <c r="F182" s="15"/>
      <c r="G182" s="15"/>
      <c r="H182" s="16"/>
      <c r="I182" s="15"/>
      <c r="J182" s="15"/>
    </row>
    <row r="183" spans="1:10" x14ac:dyDescent="0.15">
      <c r="A183" s="24" t="s">
        <v>32</v>
      </c>
      <c r="B183" s="25">
        <f t="shared" ref="B183:H183" si="9">SUM(B2:B181)</f>
        <v>19254139.115085021</v>
      </c>
      <c r="C183" s="25">
        <f t="shared" si="9"/>
        <v>19254139.115085021</v>
      </c>
      <c r="D183" s="25">
        <f t="shared" si="9"/>
        <v>585325829.09858441</v>
      </c>
      <c r="E183" s="26">
        <f t="shared" si="9"/>
        <v>23632413284.689526</v>
      </c>
      <c r="F183" s="26">
        <f t="shared" si="9"/>
        <v>8539903846.5483484</v>
      </c>
      <c r="G183" s="26">
        <f t="shared" si="9"/>
        <v>15092509438.14118</v>
      </c>
      <c r="H183" s="26">
        <f t="shared" si="9"/>
        <v>8739360000</v>
      </c>
      <c r="I183" s="26">
        <f>SUM(I2:I181)</f>
        <v>6353149438.1411858</v>
      </c>
      <c r="J183" s="26">
        <f>SUM(J2:J181)</f>
        <v>3140946837.6280055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F18F-F65B-4D49-9E69-D7C717957FC1}">
  <dimension ref="A1:I18"/>
  <sheetViews>
    <sheetView showGridLines="0" tabSelected="1" zoomScale="150" zoomScaleNormal="150" workbookViewId="0">
      <selection activeCell="H18" sqref="H18"/>
    </sheetView>
  </sheetViews>
  <sheetFormatPr baseColWidth="10" defaultRowHeight="13" x14ac:dyDescent="0.15"/>
  <cols>
    <col min="1" max="1" width="5.83203125" style="5" bestFit="1" customWidth="1"/>
    <col min="2" max="2" width="16" style="5" bestFit="1" customWidth="1"/>
    <col min="3" max="3" width="13.33203125" style="5" bestFit="1" customWidth="1"/>
    <col min="4" max="4" width="11.1640625" style="5" bestFit="1" customWidth="1"/>
    <col min="5" max="5" width="12.5" style="5" bestFit="1" customWidth="1"/>
    <col min="6" max="6" width="12.1640625" style="5" bestFit="1" customWidth="1"/>
    <col min="7" max="7" width="18.5" style="5" bestFit="1" customWidth="1"/>
    <col min="8" max="8" width="8.6640625" style="5" bestFit="1" customWidth="1"/>
    <col min="9" max="16384" width="10.83203125" style="5"/>
  </cols>
  <sheetData>
    <row r="1" spans="1:9" x14ac:dyDescent="0.15">
      <c r="A1" s="27" t="s">
        <v>26</v>
      </c>
      <c r="B1" s="27" t="s">
        <v>27</v>
      </c>
      <c r="C1" s="27" t="s">
        <v>28</v>
      </c>
      <c r="D1" s="27" t="s">
        <v>29</v>
      </c>
      <c r="E1" s="27" t="s">
        <v>47</v>
      </c>
      <c r="F1" s="27" t="s">
        <v>30</v>
      </c>
      <c r="G1" s="27" t="s">
        <v>45</v>
      </c>
      <c r="H1" s="27" t="s">
        <v>31</v>
      </c>
    </row>
    <row r="2" spans="1:9" x14ac:dyDescent="0.15">
      <c r="A2" s="4">
        <v>1</v>
      </c>
      <c r="B2" s="17">
        <f xml:space="preserve"> SUMIFS(DCF!D:D, DCF!A:A, "&gt;="&amp;(A2-1)*12, DCF!A:A, "&lt;"&amp;A2*12) / 1000</f>
        <v>52322.251378794295</v>
      </c>
      <c r="C2" s="19">
        <f xml:space="preserve"> SUMIFS(DCF!E:E, DCF!A:A, "&gt;="&amp;(A2-1)*12, DCF!A:A, "&lt;"&amp;A2*12) / 1000000</f>
        <v>2112.5004349685446</v>
      </c>
      <c r="D2" s="19">
        <f xml:space="preserve"> SUMIFS(DCF!F:F, DCF!A:A, "&gt;="&amp;(A2-1)*12, DCF!A:A, "&lt;"&amp;A2*12) / 1000000</f>
        <v>763.3816476166088</v>
      </c>
      <c r="E2" s="19">
        <f>C2-D2</f>
        <v>1349.1187873519357</v>
      </c>
      <c r="F2" s="19">
        <f xml:space="preserve"> SUMIFS(DCF!H:H, DCF!A:A, "&gt;="&amp;(A2-1)*12, DCF!A:A, "&lt;"&amp;A2*12) / 1000000</f>
        <v>873.93600000000004</v>
      </c>
      <c r="G2" s="19">
        <f xml:space="preserve"> SUMIFS(DCF!I:I, DCF!A:A, "&gt;="&amp;(A2-1)*12, DCF!A:A, "&lt;"&amp;A2*12) / 1000000</f>
        <v>475.18278735193576</v>
      </c>
      <c r="H2" s="19">
        <f xml:space="preserve"> SUMIFS(DCF!J:J, DCF!A:A, "&gt;="&amp;(A2-1)*12, DCF!A:A, "&lt;"&amp;A2*12) / 1000000</f>
        <v>453.54060774826337</v>
      </c>
      <c r="I2" s="32"/>
    </row>
    <row r="3" spans="1:9" x14ac:dyDescent="0.15">
      <c r="A3" s="4">
        <v>2</v>
      </c>
      <c r="B3" s="17">
        <f xml:space="preserve"> SUMIFS(DCF!D:D, DCF!A:A, "&gt;="&amp;(A3-1)*12, DCF!A:A, "&lt;"&amp;A3*12) / 1000</f>
        <v>49748.270731472636</v>
      </c>
      <c r="C3" s="19">
        <f xml:space="preserve"> SUMIFS(DCF!E:E, DCF!A:A, "&gt;="&amp;(A3-1)*12, DCF!A:A, "&lt;"&amp;A3*12) / 1000000</f>
        <v>2008.5764811290619</v>
      </c>
      <c r="D3" s="19">
        <f xml:space="preserve"> SUMIFS(DCF!F:F, DCF!A:A, "&gt;="&amp;(A3-1)*12, DCF!A:A, "&lt;"&amp;A3*12) / 1000000</f>
        <v>725.8272699721856</v>
      </c>
      <c r="E3" s="19">
        <f t="shared" ref="E3:E16" si="0">C3-D3</f>
        <v>1282.7492111568763</v>
      </c>
      <c r="F3" s="19">
        <f xml:space="preserve"> SUMIFS(DCF!H:H, DCF!A:A, "&gt;="&amp;(A3-1)*12, DCF!A:A, "&lt;"&amp;A3*12) / 1000000</f>
        <v>873.93600000000004</v>
      </c>
      <c r="G3" s="19">
        <f xml:space="preserve"> SUMIFS(DCF!I:I, DCF!A:A, "&gt;="&amp;(A3-1)*12, DCF!A:A, "&lt;"&amp;A3*12) / 1000000</f>
        <v>408.81321115687598</v>
      </c>
      <c r="H3" s="19">
        <f xml:space="preserve"> SUMIFS(DCF!J:J, DCF!A:A, "&gt;="&amp;(A3-1)*12, DCF!A:A, "&lt;"&amp;A3*12) / 1000000</f>
        <v>354.96567656649108</v>
      </c>
    </row>
    <row r="4" spans="1:9" x14ac:dyDescent="0.15">
      <c r="A4" s="4">
        <v>3</v>
      </c>
      <c r="B4" s="17">
        <f xml:space="preserve"> SUMIFS(DCF!D:D, DCF!A:A, "&gt;="&amp;(A4-1)*12, DCF!A:A, "&lt;"&amp;A4*12) / 1000</f>
        <v>47438.646199315488</v>
      </c>
      <c r="C4" s="19">
        <f xml:space="preserve"> SUMIFS(DCF!E:E, DCF!A:A, "&gt;="&amp;(A4-1)*12, DCF!A:A, "&lt;"&amp;A4*12) / 1000000</f>
        <v>1915.3258525681231</v>
      </c>
      <c r="D4" s="19">
        <f xml:space="preserve"> SUMIFS(DCF!F:F, DCF!A:A, "&gt;="&amp;(A4-1)*12, DCF!A:A, "&lt;"&amp;A4*12) / 1000000</f>
        <v>692.12984804801295</v>
      </c>
      <c r="E4" s="19">
        <f t="shared" si="0"/>
        <v>1223.1960045201101</v>
      </c>
      <c r="F4" s="19">
        <f xml:space="preserve"> SUMIFS(DCF!H:H, DCF!A:A, "&gt;="&amp;(A4-1)*12, DCF!A:A, "&lt;"&amp;A4*12) / 1000000</f>
        <v>873.93600000000004</v>
      </c>
      <c r="G4" s="19">
        <f xml:space="preserve"> SUMIFS(DCF!I:I, DCF!A:A, "&gt;="&amp;(A4-1)*12, DCF!A:A, "&lt;"&amp;A4*12) / 1000000</f>
        <v>349.26000452011027</v>
      </c>
      <c r="H4" s="19">
        <f xml:space="preserve"> SUMIFS(DCF!J:J, DCF!A:A, "&gt;="&amp;(A4-1)*12, DCF!A:A, "&lt;"&amp;A4*12) / 1000000</f>
        <v>275.62135403947849</v>
      </c>
    </row>
    <row r="5" spans="1:9" x14ac:dyDescent="0.15">
      <c r="A5" s="4">
        <v>4</v>
      </c>
      <c r="B5" s="17">
        <f xml:space="preserve"> SUMIFS(DCF!D:D, DCF!A:A, "&gt;="&amp;(A5-1)*12, DCF!A:A, "&lt;"&amp;A5*12) / 1000</f>
        <v>45857.269378526158</v>
      </c>
      <c r="C5" s="19">
        <f xml:space="preserve"> SUMIFS(DCF!E:E, DCF!A:A, "&gt;="&amp;(A5-1)*12, DCF!A:A, "&lt;"&amp;A5*12) / 1000000</f>
        <v>1851.4780797041185</v>
      </c>
      <c r="D5" s="19">
        <f xml:space="preserve"> SUMIFS(DCF!F:F, DCF!A:A, "&gt;="&amp;(A5-1)*12, DCF!A:A, "&lt;"&amp;A5*12) / 1000000</f>
        <v>669.05756023269669</v>
      </c>
      <c r="E5" s="19">
        <f t="shared" si="0"/>
        <v>1182.4205194714218</v>
      </c>
      <c r="F5" s="19">
        <f xml:space="preserve"> SUMIFS(DCF!H:H, DCF!A:A, "&gt;="&amp;(A5-1)*12, DCF!A:A, "&lt;"&amp;A5*12) / 1000000</f>
        <v>873.93600000000004</v>
      </c>
      <c r="G5" s="19">
        <f xml:space="preserve"> SUMIFS(DCF!I:I, DCF!A:A, "&gt;="&amp;(A5-1)*12, DCF!A:A, "&lt;"&amp;A5*12) / 1000000</f>
        <v>308.48451947142161</v>
      </c>
      <c r="H5" s="19">
        <f xml:space="preserve"> SUMIFS(DCF!J:J, DCF!A:A, "&gt;="&amp;(A5-1)*12, DCF!A:A, "&lt;"&amp;A5*12) / 1000000</f>
        <v>221.25357963695458</v>
      </c>
    </row>
    <row r="6" spans="1:9" x14ac:dyDescent="0.15">
      <c r="A6" s="4">
        <v>5</v>
      </c>
      <c r="B6" s="17">
        <f xml:space="preserve"> SUMIFS(DCF!D:D, DCF!A:A, "&gt;="&amp;(A6-1)*12, DCF!A:A, "&lt;"&amp;A6*12) / 1000</f>
        <v>44794.018933072781</v>
      </c>
      <c r="C6" s="19">
        <f xml:space="preserve"> SUMIFS(DCF!E:E, DCF!A:A, "&gt;="&amp;(A6-1)*12, DCF!A:A, "&lt;"&amp;A6*12) / 1000000</f>
        <v>1808.5495556190274</v>
      </c>
      <c r="D6" s="19">
        <f xml:space="preserve"> SUMIFS(DCF!F:F, DCF!A:A, "&gt;="&amp;(A6-1)*12, DCF!A:A, "&lt;"&amp;A6*12) / 1000000</f>
        <v>653.54473623353192</v>
      </c>
      <c r="E6" s="19">
        <f t="shared" si="0"/>
        <v>1155.0048193854955</v>
      </c>
      <c r="F6" s="19">
        <f xml:space="preserve"> SUMIFS(DCF!H:H, DCF!A:A, "&gt;="&amp;(A6-1)*12, DCF!A:A, "&lt;"&amp;A6*12) / 1000000</f>
        <v>873.93600000000004</v>
      </c>
      <c r="G6" s="19">
        <f xml:space="preserve"> SUMIFS(DCF!I:I, DCF!A:A, "&gt;="&amp;(A6-1)*12, DCF!A:A, "&lt;"&amp;A6*12) / 1000000</f>
        <v>281.06881938549543</v>
      </c>
      <c r="H6" s="19">
        <f xml:space="preserve"> SUMIFS(DCF!J:J, DCF!A:A, "&gt;="&amp;(A6-1)*12, DCF!A:A, "&lt;"&amp;A6*12) / 1000000</f>
        <v>183.22299947533907</v>
      </c>
    </row>
    <row r="7" spans="1:9" x14ac:dyDescent="0.15">
      <c r="A7" s="4">
        <v>6</v>
      </c>
      <c r="B7" s="17">
        <f xml:space="preserve"> SUMIFS(DCF!D:D, DCF!A:A, "&gt;="&amp;(A7-1)*12, DCF!A:A, "&lt;"&amp;A7*12) / 1000</f>
        <v>44082.587660357109</v>
      </c>
      <c r="C7" s="19">
        <f xml:space="preserve"> SUMIFS(DCF!E:E, DCF!A:A, "&gt;="&amp;(A7-1)*12, DCF!A:A, "&lt;"&amp;A7*12) / 1000000</f>
        <v>1779.8256602693866</v>
      </c>
      <c r="D7" s="19">
        <f xml:space="preserve"> SUMIFS(DCF!F:F, DCF!A:A, "&gt;="&amp;(A7-1)*12, DCF!A:A, "&lt;"&amp;A7*12) / 1000000</f>
        <v>643.16495396461039</v>
      </c>
      <c r="E7" s="19">
        <f t="shared" si="0"/>
        <v>1136.6607063047763</v>
      </c>
      <c r="F7" s="19">
        <f xml:space="preserve"> SUMIFS(DCF!H:H, DCF!A:A, "&gt;="&amp;(A7-1)*12, DCF!A:A, "&lt;"&amp;A7*12) / 1000000</f>
        <v>873.93600000000004</v>
      </c>
      <c r="G7" s="19">
        <f xml:space="preserve"> SUMIFS(DCF!I:I, DCF!A:A, "&gt;="&amp;(A7-1)*12, DCF!A:A, "&lt;"&amp;A7*12) / 1000000</f>
        <v>262.72470630477636</v>
      </c>
      <c r="H7" s="19">
        <f xml:space="preserve"> SUMIFS(DCF!J:J, DCF!A:A, "&gt;="&amp;(A7-1)*12, DCF!A:A, "&lt;"&amp;A7*12) / 1000000</f>
        <v>155.66733403006572</v>
      </c>
    </row>
    <row r="8" spans="1:9" x14ac:dyDescent="0.15">
      <c r="A8" s="4">
        <v>7</v>
      </c>
      <c r="B8" s="17">
        <f xml:space="preserve"> SUMIFS(DCF!D:D, DCF!A:A, "&gt;="&amp;(A8-1)*12, DCF!A:A, "&lt;"&amp;A8*12) / 1000</f>
        <v>43613.612516596768</v>
      </c>
      <c r="C8" s="19">
        <f xml:space="preserve"> SUMIFS(DCF!E:E, DCF!A:A, "&gt;="&amp;(A8-1)*12, DCF!A:A, "&lt;"&amp;A8*12) / 1000000</f>
        <v>1760.8908826350912</v>
      </c>
      <c r="D8" s="19">
        <f xml:space="preserve"> SUMIFS(DCF!F:F, DCF!A:A, "&gt;="&amp;(A8-1)*12, DCF!A:A, "&lt;"&amp;A8*12) / 1000000</f>
        <v>636.3226066171469</v>
      </c>
      <c r="E8" s="19">
        <f t="shared" si="0"/>
        <v>1124.5682760179443</v>
      </c>
      <c r="F8" s="19">
        <f xml:space="preserve"> SUMIFS(DCF!H:H, DCF!A:A, "&gt;="&amp;(A8-1)*12, DCF!A:A, "&lt;"&amp;A8*12) / 1000000</f>
        <v>873.93600000000004</v>
      </c>
      <c r="G8" s="19">
        <f xml:space="preserve"> SUMIFS(DCF!I:I, DCF!A:A, "&gt;="&amp;(A8-1)*12, DCF!A:A, "&lt;"&amp;A8*12) / 1000000</f>
        <v>250.63227601794463</v>
      </c>
      <c r="H8" s="19">
        <f xml:space="preserve"> SUMIFS(DCF!J:J, DCF!A:A, "&gt;="&amp;(A8-1)*12, DCF!A:A, "&lt;"&amp;A8*12) / 1000000</f>
        <v>134.98305764838614</v>
      </c>
    </row>
    <row r="9" spans="1:9" x14ac:dyDescent="0.15">
      <c r="A9" s="4">
        <v>8</v>
      </c>
      <c r="B9" s="17">
        <f xml:space="preserve"> SUMIFS(DCF!D:D, DCF!A:A, "&gt;="&amp;(A9-1)*12, DCF!A:A, "&lt;"&amp;A9*12) / 1000</f>
        <v>43306.154038008506</v>
      </c>
      <c r="C9" s="19">
        <f xml:space="preserve"> SUMIFS(DCF!E:E, DCF!A:A, "&gt;="&amp;(A9-1)*12, DCF!A:A, "&lt;"&amp;A9*12) / 1000000</f>
        <v>1748.4773080537857</v>
      </c>
      <c r="D9" s="19">
        <f xml:space="preserve"> SUMIFS(DCF!F:F, DCF!A:A, "&gt;="&amp;(A9-1)*12, DCF!A:A, "&lt;"&amp;A9*12) / 1000000</f>
        <v>631.83678741454423</v>
      </c>
      <c r="E9" s="19">
        <f t="shared" si="0"/>
        <v>1116.6405206392415</v>
      </c>
      <c r="F9" s="19">
        <f xml:space="preserve"> SUMIFS(DCF!H:H, DCF!A:A, "&gt;="&amp;(A9-1)*12, DCF!A:A, "&lt;"&amp;A9*12) / 1000000</f>
        <v>873.93600000000004</v>
      </c>
      <c r="G9" s="19">
        <f xml:space="preserve"> SUMIFS(DCF!I:I, DCF!A:A, "&gt;="&amp;(A9-1)*12, DCF!A:A, "&lt;"&amp;A9*12) / 1000000</f>
        <v>242.70452063924202</v>
      </c>
      <c r="H9" s="19">
        <f xml:space="preserve"> SUMIFS(DCF!J:J, DCF!A:A, "&gt;="&amp;(A9-1)*12, DCF!A:A, "&lt;"&amp;A9*12) / 1000000</f>
        <v>118.82036461272531</v>
      </c>
    </row>
    <row r="10" spans="1:9" x14ac:dyDescent="0.15">
      <c r="A10" s="4">
        <v>9</v>
      </c>
      <c r="B10" s="17">
        <f xml:space="preserve"> SUMIFS(DCF!D:D, DCF!A:A, "&gt;="&amp;(A10-1)*12, DCF!A:A, "&lt;"&amp;A10*12) / 1000</f>
        <v>43065.710703416451</v>
      </c>
      <c r="C10" s="19">
        <f xml:space="preserve"> SUMIFS(DCF!E:E, DCF!A:A, "&gt;="&amp;(A10-1)*12, DCF!A:A, "&lt;"&amp;A10*12) / 1000000</f>
        <v>1738.7694565082984</v>
      </c>
      <c r="D10" s="19">
        <f xml:space="preserve"> SUMIFS(DCF!F:F, DCF!A:A, "&gt;="&amp;(A10-1)*12, DCF!A:A, "&lt;"&amp;A10*12) / 1000000</f>
        <v>628.32871916284591</v>
      </c>
      <c r="E10" s="19">
        <f t="shared" si="0"/>
        <v>1110.4407373454524</v>
      </c>
      <c r="F10" s="19">
        <f xml:space="preserve"> SUMIFS(DCF!H:H, DCF!A:A, "&gt;="&amp;(A10-1)*12, DCF!A:A, "&lt;"&amp;A10*12) / 1000000</f>
        <v>873.93600000000004</v>
      </c>
      <c r="G10" s="19">
        <f xml:space="preserve"> SUMIFS(DCF!I:I, DCF!A:A, "&gt;="&amp;(A10-1)*12, DCF!A:A, "&lt;"&amp;A10*12) / 1000000</f>
        <v>236.50473734545275</v>
      </c>
      <c r="H10" s="19">
        <f xml:space="preserve"> SUMIFS(DCF!J:J, DCF!A:A, "&gt;="&amp;(A10-1)*12, DCF!A:A, "&lt;"&amp;A10*12) / 1000000</f>
        <v>105.25617457900357</v>
      </c>
    </row>
    <row r="11" spans="1:9" x14ac:dyDescent="0.15">
      <c r="A11" s="4">
        <v>10</v>
      </c>
      <c r="B11" s="17">
        <f xml:space="preserve"> SUMIFS(DCF!D:D, DCF!A:A, "&gt;="&amp;(A11-1)*12, DCF!A:A, "&lt;"&amp;A11*12) / 1000</f>
        <v>42863.408326056851</v>
      </c>
      <c r="C11" s="19">
        <f xml:space="preserve"> SUMIFS(DCF!E:E, DCF!A:A, "&gt;="&amp;(A11-1)*12, DCF!A:A, "&lt;"&amp;A11*12) / 1000000</f>
        <v>1730.6015384828806</v>
      </c>
      <c r="D11" s="19">
        <f xml:space="preserve"> SUMIFS(DCF!F:F, DCF!A:A, "&gt;="&amp;(A11-1)*12, DCF!A:A, "&lt;"&amp;A11*12) / 1000000</f>
        <v>625.37712747716955</v>
      </c>
      <c r="E11" s="19">
        <f t="shared" si="0"/>
        <v>1105.2244110057111</v>
      </c>
      <c r="F11" s="19">
        <f xml:space="preserve"> SUMIFS(DCF!H:H, DCF!A:A, "&gt;="&amp;(A11-1)*12, DCF!A:A, "&lt;"&amp;A11*12) / 1000000</f>
        <v>873.93600000000004</v>
      </c>
      <c r="G11" s="19">
        <f xml:space="preserve"> SUMIFS(DCF!I:I, DCF!A:A, "&gt;="&amp;(A11-1)*12, DCF!A:A, "&lt;"&amp;A11*12) / 1000000</f>
        <v>231.28841100571117</v>
      </c>
      <c r="H11" s="19">
        <f xml:space="preserve"> SUMIFS(DCF!J:J, DCF!A:A, "&gt;="&amp;(A11-1)*12, DCF!A:A, "&lt;"&amp;A11*12) / 1000000</f>
        <v>93.57455867486577</v>
      </c>
    </row>
    <row r="12" spans="1:9" x14ac:dyDescent="0.15">
      <c r="A12" s="4">
        <v>11</v>
      </c>
      <c r="B12" s="17">
        <f xml:space="preserve"> SUMIFS(DCF!D:D, DCF!A:A, "&gt;="&amp;(A12-1)*12, DCF!A:A, "&lt;"&amp;A12*12) / 1000</f>
        <v>34889.745516435767</v>
      </c>
      <c r="C12" s="19">
        <f xml:space="preserve"> SUMIFS(DCF!E:E, DCF!A:A, "&gt;="&amp;(A12-1)*12, DCF!A:A, "&lt;"&amp;A12*12) / 1000000</f>
        <v>1408.6664972769911</v>
      </c>
      <c r="D12" s="19">
        <f xml:space="preserve"> SUMIFS(DCF!F:F, DCF!A:A, "&gt;="&amp;(A12-1)*12, DCF!A:A, "&lt;"&amp;A12*12) / 1000000</f>
        <v>509.0413870847978</v>
      </c>
      <c r="E12" s="19">
        <f t="shared" si="0"/>
        <v>899.62511019219323</v>
      </c>
      <c r="F12" s="19">
        <f xml:space="preserve"> SUMIFS(DCF!H:H, DCF!A:A, "&gt;="&amp;(A12-1)*12, DCF!A:A, "&lt;"&amp;A12*12) / 1000000</f>
        <v>0</v>
      </c>
      <c r="G12" s="19">
        <f xml:space="preserve"> SUMIFS(DCF!I:I, DCF!A:A, "&gt;="&amp;(A12-1)*12, DCF!A:A, "&lt;"&amp;A12*12) / 1000000</f>
        <v>899.62511019219335</v>
      </c>
      <c r="H12" s="19">
        <f xml:space="preserve"> SUMIFS(DCF!J:J, DCF!A:A, "&gt;="&amp;(A12-1)*12, DCF!A:A, "&lt;"&amp;A12*12) / 1000000</f>
        <v>331.60157722610904</v>
      </c>
    </row>
    <row r="13" spans="1:9" x14ac:dyDescent="0.15">
      <c r="A13" s="4">
        <v>12</v>
      </c>
      <c r="B13" s="17">
        <f xml:space="preserve"> SUMIFS(DCF!D:D, DCF!A:A, "&gt;="&amp;(A13-1)*12, DCF!A:A, "&lt;"&amp;A13*12) / 1000</f>
        <v>28067.439634300001</v>
      </c>
      <c r="C13" s="19">
        <f xml:space="preserve"> SUMIFS(DCF!E:E, DCF!A:A, "&gt;="&amp;(A13-1)*12, DCF!A:A, "&lt;"&amp;A13*12) / 1000000</f>
        <v>1133.2172617469359</v>
      </c>
      <c r="D13" s="19">
        <f xml:space="preserve"> SUMIFS(DCF!F:F, DCF!A:A, "&gt;="&amp;(A13-1)*12, DCF!A:A, "&lt;"&amp;A13*12) / 1000000</f>
        <v>409.50394426443694</v>
      </c>
      <c r="E13" s="19">
        <f t="shared" si="0"/>
        <v>723.71331748249895</v>
      </c>
      <c r="F13" s="19">
        <f xml:space="preserve"> SUMIFS(DCF!H:H, DCF!A:A, "&gt;="&amp;(A13-1)*12, DCF!A:A, "&lt;"&amp;A13*12) / 1000000</f>
        <v>0</v>
      </c>
      <c r="G13" s="19">
        <f xml:space="preserve"> SUMIFS(DCF!I:I, DCF!A:A, "&gt;="&amp;(A13-1)*12, DCF!A:A, "&lt;"&amp;A13*12) / 1000000</f>
        <v>723.71331748249884</v>
      </c>
      <c r="H13" s="19">
        <f xml:space="preserve"> SUMIFS(DCF!J:J, DCF!A:A, "&gt;="&amp;(A13-1)*12, DCF!A:A, "&lt;"&amp;A13*12) / 1000000</f>
        <v>242.25821672341996</v>
      </c>
    </row>
    <row r="14" spans="1:9" x14ac:dyDescent="0.15">
      <c r="A14" s="4">
        <v>13</v>
      </c>
      <c r="B14" s="17">
        <f xml:space="preserve"> SUMIFS(DCF!D:D, DCF!A:A, "&gt;="&amp;(A14-1)*12, DCF!A:A, "&lt;"&amp;A14*12) / 1000</f>
        <v>24285.708484863291</v>
      </c>
      <c r="C14" s="19">
        <f xml:space="preserve"> SUMIFS(DCF!E:E, DCF!A:A, "&gt;="&amp;(A14-1)*12, DCF!A:A, "&lt;"&amp;A14*12) / 1000000</f>
        <v>980.53062293465882</v>
      </c>
      <c r="D14" s="19">
        <f xml:space="preserve"> SUMIFS(DCF!F:F, DCF!A:A, "&gt;="&amp;(A14-1)*12, DCF!A:A, "&lt;"&amp;A14*12) / 1000000</f>
        <v>354.32848679415548</v>
      </c>
      <c r="E14" s="19">
        <f t="shared" si="0"/>
        <v>626.2021361405034</v>
      </c>
      <c r="F14" s="19">
        <f xml:space="preserve"> SUMIFS(DCF!H:H, DCF!A:A, "&gt;="&amp;(A14-1)*12, DCF!A:A, "&lt;"&amp;A14*12) / 1000000</f>
        <v>0</v>
      </c>
      <c r="G14" s="19">
        <f xml:space="preserve"> SUMIFS(DCF!I:I, DCF!A:A, "&gt;="&amp;(A14-1)*12, DCF!A:A, "&lt;"&amp;A14*12) / 1000000</f>
        <v>626.20213614050317</v>
      </c>
      <c r="H14" s="19">
        <f xml:space="preserve"> SUMIFS(DCF!J:J, DCF!A:A, "&gt;="&amp;(A14-1)*12, DCF!A:A, "&lt;"&amp;A14*12) / 1000000</f>
        <v>190.50567780726891</v>
      </c>
    </row>
    <row r="15" spans="1:9" x14ac:dyDescent="0.15">
      <c r="A15" s="4">
        <v>14</v>
      </c>
      <c r="B15" s="17">
        <f xml:space="preserve"> SUMIFS(DCF!D:D, DCF!A:A, "&gt;="&amp;(A15-1)*12, DCF!A:A, "&lt;"&amp;A15*12) / 1000</f>
        <v>21569.123084904986</v>
      </c>
      <c r="C15" s="19">
        <f xml:space="preserve"> SUMIFS(DCF!E:E, DCF!A:A, "&gt;="&amp;(A15-1)*12, DCF!A:A, "&lt;"&amp;A15*12) / 1000000</f>
        <v>870.84903072842224</v>
      </c>
      <c r="D15" s="19">
        <f xml:space="preserve"> SUMIFS(DCF!F:F, DCF!A:A, "&gt;="&amp;(A15-1)*12, DCF!A:A, "&lt;"&amp;A15*12) / 1000000</f>
        <v>314.6935058087638</v>
      </c>
      <c r="E15" s="19">
        <f t="shared" si="0"/>
        <v>556.15552491965843</v>
      </c>
      <c r="F15" s="19">
        <f xml:space="preserve"> SUMIFS(DCF!H:H, DCF!A:A, "&gt;="&amp;(A15-1)*12, DCF!A:A, "&lt;"&amp;A15*12) / 1000000</f>
        <v>0</v>
      </c>
      <c r="G15" s="19">
        <f xml:space="preserve"> SUMIFS(DCF!I:I, DCF!A:A, "&gt;="&amp;(A15-1)*12, DCF!A:A, "&lt;"&amp;A15*12) / 1000000</f>
        <v>556.15552491965843</v>
      </c>
      <c r="H15" s="19">
        <f xml:space="preserve"> SUMIFS(DCF!J:J, DCF!A:A, "&gt;="&amp;(A15-1)*12, DCF!A:A, "&lt;"&amp;A15*12) / 1000000</f>
        <v>153.79278645127724</v>
      </c>
    </row>
    <row r="16" spans="1:9" x14ac:dyDescent="0.15">
      <c r="A16" s="4">
        <v>15</v>
      </c>
      <c r="B16" s="17">
        <f xml:space="preserve"> SUMIFS(DCF!D:D, DCF!A:A, "&gt;="&amp;(A16-1)*12, DCF!A:A, "&lt;"&amp;A16*12) / 1000</f>
        <v>19421.882512463311</v>
      </c>
      <c r="C16" s="19">
        <f xml:space="preserve"> SUMIFS(DCF!E:E, DCF!A:A, "&gt;="&amp;(A16-1)*12, DCF!A:A, "&lt;"&amp;A16*12) / 1000000</f>
        <v>784.15462206420375</v>
      </c>
      <c r="D16" s="19">
        <f xml:space="preserve"> SUMIFS(DCF!F:F, DCF!A:A, "&gt;="&amp;(A16-1)*12, DCF!A:A, "&lt;"&amp;A16*12) / 1000000</f>
        <v>283.36526585683964</v>
      </c>
      <c r="E16" s="19">
        <f t="shared" si="0"/>
        <v>500.78935620736411</v>
      </c>
      <c r="F16" s="19">
        <f xml:space="preserve"> SUMIFS(DCF!H:H, DCF!A:A, "&gt;="&amp;(A16-1)*12, DCF!A:A, "&lt;"&amp;A16*12) / 1000000</f>
        <v>0</v>
      </c>
      <c r="G16" s="19">
        <f xml:space="preserve"> SUMIFS(DCF!I:I, DCF!A:A, "&gt;="&amp;(A16-1)*12, DCF!A:A, "&lt;"&amp;A16*12) / 1000000</f>
        <v>500.78935620736416</v>
      </c>
      <c r="H16" s="19">
        <f xml:space="preserve"> SUMIFS(DCF!J:J, DCF!A:A, "&gt;="&amp;(A16-1)*12, DCF!A:A, "&lt;"&amp;A16*12) / 1000000</f>
        <v>125.8828724083551</v>
      </c>
    </row>
    <row r="17" spans="1:9" x14ac:dyDescent="0.15">
      <c r="B17" s="18"/>
      <c r="C17" s="20"/>
      <c r="D17" s="20"/>
      <c r="E17" s="20"/>
      <c r="F17" s="20"/>
      <c r="G17" s="20"/>
      <c r="H17" s="20"/>
    </row>
    <row r="18" spans="1:9" x14ac:dyDescent="0.15">
      <c r="A18" s="21" t="s">
        <v>32</v>
      </c>
      <c r="B18" s="22">
        <f>SUM(B2:B16)</f>
        <v>585325.82909858436</v>
      </c>
      <c r="C18" s="23">
        <f>SUM(C2:C16)</f>
        <v>23632.41328468953</v>
      </c>
      <c r="D18" s="23">
        <f t="shared" ref="D18:G18" si="1">SUM(D2:D16)</f>
        <v>8539.9038465483463</v>
      </c>
      <c r="E18" s="23">
        <f t="shared" si="1"/>
        <v>15092.509438141185</v>
      </c>
      <c r="F18" s="23">
        <f t="shared" si="1"/>
        <v>8739.3599999999988</v>
      </c>
      <c r="G18" s="23">
        <f t="shared" si="1"/>
        <v>6353.1494381411831</v>
      </c>
      <c r="H18" s="23">
        <f>SUM(H2:H16)</f>
        <v>3140.9468376280029</v>
      </c>
      <c r="I18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DCF</vt:lpstr>
      <vt:lpstr>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 Dineshbhai Bhalala</dc:creator>
  <cp:lastModifiedBy>Vandan Dineshbhai Bhalala</cp:lastModifiedBy>
  <dcterms:created xsi:type="dcterms:W3CDTF">2026-07-15T03:34:28Z</dcterms:created>
  <dcterms:modified xsi:type="dcterms:W3CDTF">2026-07-17T04:09:12Z</dcterms:modified>
</cp:coreProperties>
</file>